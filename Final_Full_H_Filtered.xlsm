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/>
  <workbookPr date1904="1" showInkAnnotation="0" autoCompressPictures="0"/>
  <bookViews>
    <workbookView xWindow="28800" yWindow="-860" windowWidth="38400" windowHeight="21600" tabRatio="500" activeTab="1"/>
  </bookViews>
  <sheets>
    <sheet name="Final_Full_H_Filtered.csv" sheetId="1" r:id="rId1"/>
    <sheet name="Formatted Data" sheetId="3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2" i="3" l="1"/>
  <c r="B91" i="3"/>
  <c r="B90" i="3"/>
  <c r="B89" i="3"/>
  <c r="F122" i="3"/>
  <c r="F123" i="3"/>
  <c r="E122" i="3"/>
  <c r="E123" i="3"/>
  <c r="D122" i="3"/>
  <c r="D123" i="3"/>
  <c r="F119" i="3"/>
  <c r="F118" i="3"/>
  <c r="E119" i="3"/>
  <c r="E118" i="3"/>
  <c r="F120" i="3"/>
  <c r="E120" i="3"/>
  <c r="D120" i="3"/>
  <c r="D119" i="3"/>
  <c r="D118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V2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U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E114" i="3"/>
  <c r="E115" i="3"/>
  <c r="F115" i="3"/>
  <c r="F114" i="3"/>
  <c r="E116" i="3"/>
  <c r="F116" i="3"/>
  <c r="Z2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F98" i="3"/>
  <c r="F99" i="3"/>
  <c r="F102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F97" i="3"/>
  <c r="F101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E98" i="3"/>
  <c r="E99" i="3"/>
  <c r="E102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E97" i="3"/>
  <c r="E101" i="3"/>
  <c r="F95" i="3"/>
  <c r="F94" i="3"/>
  <c r="E95" i="3"/>
  <c r="E94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</calcChain>
</file>

<file path=xl/sharedStrings.xml><?xml version="1.0" encoding="utf-8"?>
<sst xmlns="http://schemas.openxmlformats.org/spreadsheetml/2006/main" count="317" uniqueCount="221">
  <si>
    <t>id,group,a_b_d1,a_a_d1,a_d_d1,v_b_d1,v_a_d1,v_d_d1,a_b_d2,a_a_d2,a_d_d2,v_b_d2,v_a_d2,v_d_d2,a_b_d3,a_a_d3,a_d_d3,v_b_d3,v_a_d3,v_d_d3,mean_arousal,mean_valence</t>
  </si>
  <si>
    <t>572bc38f34b25a0010dbe9c4,bot,7,6,-1,4,4,0,4,4,0,6,3,-3,6,3,-3,4,6,2,-1.333333333,-0.3333333333</t>
  </si>
  <si>
    <t>57ca4b09993b08000192297b,bot,4,4,0,3,4,1,5,3,-2,3,2,-1,7,5,-2,2,5,3,-1.333333333,1</t>
  </si>
  <si>
    <t>58a474be34fcb30001053c74,bot,7,8,1,2,2,0,3,4,1,3,4,1,2,3,1,3,3,0,1,0.3333333333</t>
  </si>
  <si>
    <t>58daebcf4240e50001190dfd,bot,6,7,1,7,8,1,6,7,1,7,7,0,8,8,0,7,7,0,0.6666666667,0.3333333333</t>
  </si>
  <si>
    <t>59326b0654afe900017e9ea6,bot,3,2,-1,2,4,2,2,1,-1,4,3,-1,6,4,-2,2,4,2,-1.333333333,1</t>
  </si>
  <si>
    <t>596f9bd71a0f2200019a9823,bot,7,6,-1,8,7,-1,6,4,-2,9,9,0,1,6,5,9,9,0,0.6666666667,-0.3333333333</t>
  </si>
  <si>
    <t>598b848bdcdd640001e11108,bot,4,6,2,3,7,4,5,4,-1,6,3,-3,1,3,2,2,5,3,1,1.333333333</t>
  </si>
  <si>
    <t>59be90270ac77f0001f059e6,bot,6,6,0,4,7,3,5,9,4,3,2,-1,7,8,1,1,2,1,1.666666667,1</t>
  </si>
  <si>
    <t>59de6ff66100f9000194a144,bot,8,6,-2,3,5,2,6,6,0,4,3,-1,7,5,-2,2,3,1,-1.333333333,0.6666666667</t>
  </si>
  <si>
    <t>59eb8c106100f9000194aa47,bot,6,6,0,3,1,-2,5,6,1,8,5,-3,5,6,1,9,7,-2,0.6666666667,-2.333333333</t>
  </si>
  <si>
    <t>5a384471e7bc8000010a8df2,bot,7,6,-1,6,5,-1,8,8,0,3,3,0,6,6,0,3,3,0,-0.3333333333,-0.3333333333</t>
  </si>
  <si>
    <t>5a4996b835c9d50001fdcdbf,bot,8,8,0,3,5,2,8,7,-1,3,2,-1,7,9,2,3,5,2,0.3333333333,1</t>
  </si>
  <si>
    <t>5a4e8f4930adf7000106fd5e,bot,7,6,-1,3,7,4,5,8,3,7,2,-5,7,6,-1,3,6,3,0.3333333333,0.6666666667</t>
  </si>
  <si>
    <t>5a692a8463394a000155da61,bot,3,3,0,8,8,0,5,5,0,5,5,0,8,8,0,3,4,1,0,0.3333333333</t>
  </si>
  <si>
    <t>5a85d403ae9a0b0001a9ec8c,bot,6,6,0,5,7,2,6,6,0,7,6,-1,6,6,0,4,5,1,0,0.6666666667</t>
  </si>
  <si>
    <t>5a8adbd3f1408d000176a8d5,bot,3,3,0,3,4,1,4,8,4,2,3,1,6,4,-2,4,4,0,0.6666666667,0.6666666667</t>
  </si>
  <si>
    <t>5ae5db897edeb000014a85ee,bot,5,5,0,3,3,0,5,7,2,2,2,0,5,5,0,4,4,0,0.6666666667,0</t>
  </si>
  <si>
    <t>5aeaf6667875a4000115ef73,bot,2,3,1,5,5,0,5,6,1,3,3,0,3,3,0,5,5,0,0.6666666667,0</t>
  </si>
  <si>
    <t>5afd6d5b56fe2c0001690178,bot,7,2,-5,4,5,1,3,1,-2,9,9,0,7,5,-2,4,6,2,-3,1</t>
  </si>
  <si>
    <t>5b0d2195641b1200010ef493,bot,7,7,0,7,7,0,6,3,-3,5,3,-2,4,5,1,2,3,1,-0.6666666667,-0.3333333333</t>
  </si>
  <si>
    <t>5b40a6781581c70001e8d4a5,bot,2,2,0,2,5,3,5,5,0,5,5,0,5,5,0,7,5,-2,0,0.3333333333</t>
  </si>
  <si>
    <t>5b4b9402fd4bd10001acd2dc,bot,6,8,2,5,1,-4,1,2,1,1,2,1,6,4,-2,2,1,-1,0.3333333333,-1.333333333</t>
  </si>
  <si>
    <t>5b53095a303c33000165a756,bot,3,5,2,7,7,0,5,4,-1,4,4,0,5,6,1,6,6,0,0.6666666667,0</t>
  </si>
  <si>
    <t>5b5fac0adb56360001f4f1dc,bot,3,8,5,2,3,1,3,7,4,4,3,-1,2,2,0,4,4,0,3,0</t>
  </si>
  <si>
    <t>5b745eb8fd718d00013d251d,bot,5,6,1,9,3,-6,4,2,-2,4,3,-1,6,4,-2,5,7,2,-1,-1.666666667</t>
  </si>
  <si>
    <t>5b918e98290d2400016828d3,bot,7,6,-1,5,7,2,7,7,0,8,5,-3,7,6,-1,3,3,0,-0.6666666667,-0.3333333333</t>
  </si>
  <si>
    <t>5bc1c9dd9fffb200019bebe1,bot,7,8,1,2,4,2,6,3,-3,6,4,-2,6,6,0,4,6,2,-0.6666666667,0.6666666667</t>
  </si>
  <si>
    <t>5bc7836006900800013a05db,bot,7,8,1,3,1,-2,7,6,-1,2,4,2,6,7,1,4,2,-2,0.3333333333,-0.6666666667</t>
  </si>
  <si>
    <t>5bc7851135b90f0001432a3c,bot,7,7,0,7,7,0,8,8,0,2,2,0,6,6,0,2,1,-1,0,-0.3333333333</t>
  </si>
  <si>
    <t>5bcd2885ac406f000177d6b0,bot,5,5,0,3,3,0,2,2,0,1,2,1,7,6,-1,2,2,0,-0.3333333333,0.3333333333</t>
  </si>
  <si>
    <t>5bcdf13349f23e000109055a,bot,6,5,-1,5,5,0,8,9,1,2,2,0,8,7,-1,3,7,4,-0.3333333333,1.333333333</t>
  </si>
  <si>
    <t>5bcf4bb932e46700016fd804,bot,3,1,-2,3,3,0,3,6,3,2,3,1,3,3,0,5,7,2,0.3333333333,1</t>
  </si>
  <si>
    <t>554a4c37fdf99b744e2ae69f,human,7,6,-1,6,6,0,9,4,-5,2,8,6,6,6,0,3,5,2,-2,2.666666667</t>
  </si>
  <si>
    <t>55ba8f47fdf99b404ce2490d,human,3,6,3,4,5,1,2,4,2,3,5,2,8,6,-2,5,5,0,1,1</t>
  </si>
  <si>
    <t>56a7da16c89737000b22953c,human,5,3,-2,5,8,3,6,8,2,4,3,-1,3,3,0,3,6,3,0,1.666666667</t>
  </si>
  <si>
    <t>56bc806e397246000c26060a,human,7,6,-1,3,5,2,5,5,0,4,5,1,8,6,-2,4,4,0,-1,1</t>
  </si>
  <si>
    <t>583b2e395fcbdf00016f7969,human,7,8,1,3,8,5,3,7,4,2,7,5,6,7,1,4,8,4,2,4.666666667</t>
  </si>
  <si>
    <t>58fe27c557344b0001ee202a,human,6,6,0,5,5,0,7,4,-3,3,8,5,8,7,-1,3,8,5,-1.333333333,3.333333333</t>
  </si>
  <si>
    <t>593533d4ed2e9a0001d37c0b,human,1,1,0,2,5,3,3,3,0,4,6,2,1,1,0,2,3,1,0,2</t>
  </si>
  <si>
    <t>5975b75a2356570001085d0c,human,8,7,-1,3,4,1,7,5,-2,4,6,2,7,6,-1,4,5,1,-1.333333333,1.333333333</t>
  </si>
  <si>
    <t>598b7cd7f472de0001731be6,human,4,7,3,3,2,-1,9,9,0,1,1,0,5,1,-4,9,1,-8,-0.3333333333,-3</t>
  </si>
  <si>
    <t>599f102b617ca80001fcd178,human,7,6,-1,2,2,0,4,3,-1,3,4,1,6,3,-3,2,3,1,-1.666666667,0.6666666667</t>
  </si>
  <si>
    <t>59ad617a8cef7d00011f893c,human,8,6,-2,3,5,2,7,3,-4,4,5,1,7,8,1,4,3,-1,-1.666666667,0.6666666667</t>
  </si>
  <si>
    <t>59d793bbcfaf74000161143e,human,3,4,1,4,4,0,4,5,1,3,5,2,3,5,2,3,6,3,1.333333333,1.666666667</t>
  </si>
  <si>
    <t>5ac228c50527ba0001c1f6bb,human,2,4,2,2,4,2,7,6,-1,7,6,-1,4,4,0,5,6,1,0.3333333333,0.6666666667</t>
  </si>
  <si>
    <t>5adf4b5b84d77d00014ae2ad,human,8,8,0,2,7,5,7,8,1,4,4,0,6,6,0,2,3,1,0.3333333333,2</t>
  </si>
  <si>
    <t>5aee05398ba5a400017fe612,human,2,5,3,1,4,3,3,5,2,1,4,3,9,5,-4,1,1,0,0.3333333333,2</t>
  </si>
  <si>
    <t>5b2fdd57a8327d0001ffe8da,human,1,1,0,4,9,5,3,4,1,5,4,-1,2,3,1,7,3,-4,0.6666666667,0</t>
  </si>
  <si>
    <t>5b7c3611b22fe60001df1efd,human,6,6,0,3,6,3,3,6,3,3,2,-1,6,5,-1,2,5,3,0.6666666667,1.666666667</t>
  </si>
  <si>
    <t>5b7f4108db11320001c4b0c1,human,6,5,-1,4,6,2,4,4,0,5,6,1,4,5,1,5,6,1,0,1.333333333</t>
  </si>
  <si>
    <t>5b91dc5ebfc1cd0001bcd5b4,human,5,6,1,4,7,3,7,7,0,7,4,-3,2,4,2,3,4,1,1,0.3333333333</t>
  </si>
  <si>
    <t>5b94720987ec6700017f9d94,human,5,5,0,4,1,-3,5,5,0,3,2,-1,9,5,-4,9,6,-3,-1.333333333,-2.333333333</t>
  </si>
  <si>
    <t>5b94bd5e24fca300016a9425,human,2,3,1,2,6,4,6,4,-2,6,3,-3,7,5,-2,2,4,2,-1,1</t>
  </si>
  <si>
    <t>5bc207f0dbfc8100018850a6,human,6,2,-4,2,8,6,5,2,-3,1,5,4,5,1,-4,9,3,-6,-3.666666667,1.333333333</t>
  </si>
  <si>
    <t>5bc5bb836653db00015e7991,human,1,1,0,1,5,4,1,4,3,1,1,0,1,5,4,2,4,2,2.333333333,2</t>
  </si>
  <si>
    <t>5bc623acd2bea100010c808e,human,7,7,0,7,7,0,8,9,1,7,6,-1,9,9,0,7,4,-3,0.3333333333,-1.333333333</t>
  </si>
  <si>
    <t>55885582fdf99b4021921fbd,control,6,4,-2,3,5,2,8,9,1,2,2,0,6,4,-2,2,4,2,-1,1.333333333</t>
  </si>
  <si>
    <t>55b95e2ffdf99b469f622883,control,7,7,0,7,6,-1,6,6,0,6,4,-2,3,4,1,7,5,-2,0.3333333333,-1.666666667</t>
  </si>
  <si>
    <t>569d242a9e8363000c309dd7,control,6,4,-2,3,5,2,7,7,0,4,5,1,8,3,-5,5,6,1,-2.333333333,1.333333333</t>
  </si>
  <si>
    <t>574b32af5bef98000faeb371,control,6,5,-1,6,8,2,1,3,2,3,7,4,6,4,-2,3,6,3,-0.3333333333,3</t>
  </si>
  <si>
    <t>57e928630cb6700001dd8f8a,control,7,6,-1,8,7,-1,2,2,0,1,2,1,8,6,-2,7,3,-4,-1,-1.333333333</t>
  </si>
  <si>
    <t>58620a55db3e720001e22778,control,6,4,-2,6,5,-1,6,4,-2,6,5,-1,3,3,0,6,7,1,-1.333333333,-0.3333333333</t>
  </si>
  <si>
    <t>5887951f5b971900013a03c0,control,7,8,1,2,1,-1,6,5,-1,2,7,5,6,5,-1,1,1,0,-0.3333333333,1.333333333</t>
  </si>
  <si>
    <t>589b9d050da7f10001de7382,control,7,7,0,3,1,-2,7,8,1,1,1,0,4,5,1,4,5,1,0.6666666667,-0.3333333333</t>
  </si>
  <si>
    <t>58eeb1f3575c01000180b0a2,control,8,8,0,7,7,0,5,5,0,9,8,-1,8,8,0,8,8,0,0,-0.3333333333</t>
  </si>
  <si>
    <t>5992b7cea2bbe00001882fbe,control,7,6,-1,7,5,-2,6,7,1,7,5,-2,7,7,0,7,8,1,0,-1</t>
  </si>
  <si>
    <t>5996f18c6b939900012d9f58,control,2,3,1,2,4,2,2,6,4,3,5,2,5,6,1,5,6,1,2,1.666666667</t>
  </si>
  <si>
    <t>59ea32b5e75b450001a695b4,control,3,5,2,3,5,2,2,2,0,3,4,1,2,2,0,3,2,-1,0.6666666667,0.6666666667</t>
  </si>
  <si>
    <t>5aaa473ec4327200010d7c5c,control,7,7,0,7,4,-3,3,2,-1,3,5,2,4,3,-1,5,3,-2,-0.6666666667,-1</t>
  </si>
  <si>
    <t>5aae420ec4e8f200014b3d4e,control,2,4,2,3,4,1,1,2,1,3,3,0,6,4,-2,1,1,0,0.3333333333,0.3333333333</t>
  </si>
  <si>
    <t>5afd67f856fe2c00016900c7,control,8,7,-1,7,5,-2,7,8,1,3,2,-1,7,8,1,3,2,-1,0.3333333333,-1.333333333</t>
  </si>
  <si>
    <t>5b09353e6cae6100014eca71,control,4,6,2,3,6,3,7,6,-1,3,3,0,6,6,0,3,5,2,0.3333333333,1.666666667</t>
  </si>
  <si>
    <t>5b0c82406ff4ee0001db28d1,control,7,7,0,3,3,0,5,7,2,5,3,-2,8,7,-1,3,5,2,0.3333333333,0</t>
  </si>
  <si>
    <t>5b22b702113f6900016a0b69,control,3,4,1,5,6,1,1,8,7,5,3,-2,1,9,8,3,1,-2,5.333333333,-1</t>
  </si>
  <si>
    <t>5b3a3ef3c49ecb00010a7d12,control,3,4,1,3,7,4,8,7,-1,3,4,1,6,5,-1,1,3,2,-0.3333333333,2.333333333</t>
  </si>
  <si>
    <t>5b70758cf3dd6600010aa9eb,control,5,5,0,2,3,1,6,6,0,5,5,0,8,8,0,6,5,-1,0,0</t>
  </si>
  <si>
    <t>5b8011a80a67ca0001cc3f9b,control,6,6,0,3,4,1,5,5,0,5,5,0,5,5,0,5,5,0,0,0.3333333333</t>
  </si>
  <si>
    <t>5b85246328914d0001135d23,control,8,8,0,3,3,0,2,2,0,4,3,-1,8,8,0,1,1,0,0,-0.3333333333</t>
  </si>
  <si>
    <t>5b881d46a55bb900018b07ca,control,7,5,-2,3,3,0,8,7,-1,4,4,0,6,8,2,2,3,1,-0.3333333333,0.3333333333</t>
  </si>
  <si>
    <t>5b91603d98530500014c2344,control,8,8,0,2,2,0,8,6,-2,2,7,5,8,6,-2,7,8,1,-1.333333333,2</t>
  </si>
  <si>
    <t>5b9279430f342b0001e0502b,control,7,9,2,1,2,1,6,7,1,2,3,1,4,4,0,1,2,1,1,1</t>
  </si>
  <si>
    <t>5b9cb73bb8d79e0001813ee8,control,5,5,0,3,4,1,5,5,0,4,6,2,7,5,-2,4,3,-1,-0.6666666667,0.6666666667</t>
  </si>
  <si>
    <t>5b9ce9e980ebc0000117f24d,control,2,2,0,8,7,-1,3,1,-2,5,8,3,7,5,-2,2,5,3,-1.333333333,1.666666667</t>
  </si>
  <si>
    <t>5ba0eedba9e7be000135df27,control,6,5,-1,2,4,2,8,6,-2,3,4,1,6,5,-1,2,5,3,-1.333333333,2</t>
  </si>
  <si>
    <t>5bc19a2f1f8dd800015f8885,control,7,5,-2,4,7,3,5,5,0,5,7,2,2,3,1,4,5,1,-0.3333333333,2</t>
  </si>
  <si>
    <t>5bc8ab30b569b300016b8051,control,1,3,2,1,2,1,1,1,0,1,1,0,8,7,-1,1,2,1,0.3333333333,0.6666666667</t>
  </si>
  <si>
    <t>Before</t>
  </si>
  <si>
    <t>After</t>
  </si>
  <si>
    <t>Arousal</t>
  </si>
  <si>
    <t>Valence</t>
  </si>
  <si>
    <t>SD Arousal</t>
  </si>
  <si>
    <t>SD Valence</t>
  </si>
  <si>
    <t>id</t>
  </si>
  <si>
    <t>group</t>
  </si>
  <si>
    <t>a_b_d1</t>
  </si>
  <si>
    <t>a_a_d1</t>
  </si>
  <si>
    <t>a_d_d1</t>
  </si>
  <si>
    <t>v_b_d1</t>
  </si>
  <si>
    <t>v_a_d1</t>
  </si>
  <si>
    <t>v_d_d1</t>
  </si>
  <si>
    <t>a_b_d2</t>
  </si>
  <si>
    <t>a_a_d2</t>
  </si>
  <si>
    <t>a_d_d2</t>
  </si>
  <si>
    <t>v_b_d2</t>
  </si>
  <si>
    <t>v_a_d2</t>
  </si>
  <si>
    <t>v_d_d2</t>
  </si>
  <si>
    <t>a_b_d3</t>
  </si>
  <si>
    <t>a_a_d3</t>
  </si>
  <si>
    <t>a_d_d3</t>
  </si>
  <si>
    <t>v_b_d3</t>
  </si>
  <si>
    <t>v_a_d3</t>
  </si>
  <si>
    <t>v_d_d3</t>
  </si>
  <si>
    <t>mean_arousal</t>
  </si>
  <si>
    <t>mean_valence</t>
  </si>
  <si>
    <t>572bc38f34b25a0010dbe9c4</t>
  </si>
  <si>
    <t>bot</t>
  </si>
  <si>
    <t>57ca4b09993b08000192297b</t>
  </si>
  <si>
    <t>58a474be34fcb30001053c74</t>
  </si>
  <si>
    <t>58daebcf4240e50001190dfd</t>
  </si>
  <si>
    <t>59326b0654afe900017e9ea6</t>
  </si>
  <si>
    <t>596f9bd71a0f2200019a9823</t>
  </si>
  <si>
    <t>598b848bdcdd640001e11108</t>
  </si>
  <si>
    <t>59be90270ac77f0001f059e6</t>
  </si>
  <si>
    <t>59de6ff66100f9000194a144</t>
  </si>
  <si>
    <t>59eb8c106100f9000194aa47</t>
  </si>
  <si>
    <t>5a384471e7bc8000010a8df2</t>
  </si>
  <si>
    <t>5a4996b835c9d50001fdcdbf</t>
  </si>
  <si>
    <t>5a4e8f4930adf7000106fd5e</t>
  </si>
  <si>
    <t>5a692a8463394a000155da61</t>
  </si>
  <si>
    <t>5a85d403ae9a0b0001a9ec8c</t>
  </si>
  <si>
    <t>5a8adbd3f1408d000176a8d5</t>
  </si>
  <si>
    <t>5ae5db897edeb000014a85ee</t>
  </si>
  <si>
    <t>5aeaf6667875a4000115ef73</t>
  </si>
  <si>
    <t>5afd6d5b56fe2c0001690178</t>
  </si>
  <si>
    <t>5b0d2195641b1200010ef493</t>
  </si>
  <si>
    <t>5b40a6781581c70001e8d4a5</t>
  </si>
  <si>
    <t>5b4b9402fd4bd10001acd2dc</t>
  </si>
  <si>
    <t>5b53095a303c33000165a756</t>
  </si>
  <si>
    <t>5b5fac0adb56360001f4f1dc</t>
  </si>
  <si>
    <t>5b745eb8fd718d00013d251d</t>
  </si>
  <si>
    <t>5b918e98290d2400016828d3</t>
  </si>
  <si>
    <t>5bc1c9dd9fffb200019bebe1</t>
  </si>
  <si>
    <t>5bc7836006900800013a05db</t>
  </si>
  <si>
    <t>5bc7851135b90f0001432a3c</t>
  </si>
  <si>
    <t>5bcd2885ac406f000177d6b0</t>
  </si>
  <si>
    <t>5bcdf13349f23e000109055a</t>
  </si>
  <si>
    <t>5bcf4bb932e46700016fd804</t>
  </si>
  <si>
    <t>554a4c37fdf99b744e2ae69f</t>
  </si>
  <si>
    <t>human</t>
  </si>
  <si>
    <t>55ba8f47fdf99b404ce2490d</t>
  </si>
  <si>
    <t>56a7da16c89737000b22953c</t>
  </si>
  <si>
    <t>56bc806e397246000c26060a</t>
  </si>
  <si>
    <t>583b2e395fcbdf00016f7969</t>
  </si>
  <si>
    <t>58fe27c557344b0001ee202a</t>
  </si>
  <si>
    <t>593533d4ed2e9a0001d37c0b</t>
  </si>
  <si>
    <t>5975b75a2356570001085d0c</t>
  </si>
  <si>
    <t>598b7cd7f472de0001731be6</t>
  </si>
  <si>
    <t>599f102b617ca80001fcd178</t>
  </si>
  <si>
    <t>59ad617a8cef7d00011f893c</t>
  </si>
  <si>
    <t>59d793bbcfaf74000161143e</t>
  </si>
  <si>
    <t>5ac228c50527ba0001c1f6bb</t>
  </si>
  <si>
    <t>5adf4b5b84d77d00014ae2ad</t>
  </si>
  <si>
    <t>5aee05398ba5a400017fe612</t>
  </si>
  <si>
    <t>5b2fdd57a8327d0001ffe8da</t>
  </si>
  <si>
    <t>5b7c3611b22fe60001df1efd</t>
  </si>
  <si>
    <t>5b7f4108db11320001c4b0c1</t>
  </si>
  <si>
    <t>5b91dc5ebfc1cd0001bcd5b4</t>
  </si>
  <si>
    <t>5b94720987ec6700017f9d94</t>
  </si>
  <si>
    <t>5b94bd5e24fca300016a9425</t>
  </si>
  <si>
    <t>5bc207f0dbfc8100018850a6</t>
  </si>
  <si>
    <t>5bc5bb836653db00015e7991</t>
  </si>
  <si>
    <t>5bc623acd2bea100010c808e</t>
  </si>
  <si>
    <t>55885582fdf99b4021921fbd</t>
  </si>
  <si>
    <t>control</t>
  </si>
  <si>
    <t>55b95e2ffdf99b469f622883</t>
  </si>
  <si>
    <t>569d242a9e8363000c309dd7</t>
  </si>
  <si>
    <t>574b32af5bef98000faeb371</t>
  </si>
  <si>
    <t>57e928630cb6700001dd8f8a</t>
  </si>
  <si>
    <t>58620a55db3e720001e22778</t>
  </si>
  <si>
    <t>5887951f5b971900013a03c0</t>
  </si>
  <si>
    <t>589b9d050da7f10001de7382</t>
  </si>
  <si>
    <t>58eeb1f3575c01000180b0a2</t>
  </si>
  <si>
    <t>5992b7cea2bbe00001882fbe</t>
  </si>
  <si>
    <t>5996f18c6b939900012d9f58</t>
  </si>
  <si>
    <t>59ea32b5e75b450001a695b4</t>
  </si>
  <si>
    <t>5aaa473ec4327200010d7c5c</t>
  </si>
  <si>
    <t>5aae420ec4e8f200014b3d4e</t>
  </si>
  <si>
    <t>5afd67f856fe2c00016900c7</t>
  </si>
  <si>
    <t>5b09353e6cae6100014eca71</t>
  </si>
  <si>
    <t>5b0c82406ff4ee0001db28d1</t>
  </si>
  <si>
    <t>5b22b702113f6900016a0b69</t>
  </si>
  <si>
    <t>5b3a3ef3c49ecb00010a7d12</t>
  </si>
  <si>
    <t>5b70758cf3dd6600010aa9eb</t>
  </si>
  <si>
    <t>5b8011a80a67ca0001cc3f9b</t>
  </si>
  <si>
    <t>5b85246328914d0001135d23</t>
  </si>
  <si>
    <t>5b881d46a55bb900018b07ca</t>
  </si>
  <si>
    <t>5b91603d98530500014c2344</t>
  </si>
  <si>
    <t>5b9279430f342b0001e0502b</t>
  </si>
  <si>
    <t>5b9cb73bb8d79e0001813ee8</t>
  </si>
  <si>
    <t>5b9ce9e980ebc0000117f24d</t>
  </si>
  <si>
    <t>5ba0eedba9e7be000135df27</t>
  </si>
  <si>
    <t>5bc19a2f1f8dd800015f8885</t>
  </si>
  <si>
    <t>5bc8ab30b569b300016b8051</t>
  </si>
  <si>
    <t>arousal_b</t>
  </si>
  <si>
    <t>arousal_a</t>
  </si>
  <si>
    <t>valence_b</t>
  </si>
  <si>
    <t>valence_a</t>
  </si>
  <si>
    <t>HYPOTHESES H1 AND H2</t>
  </si>
  <si>
    <t>Sample Size</t>
  </si>
  <si>
    <t>Alpha</t>
  </si>
  <si>
    <t>CI 95% Arousal</t>
  </si>
  <si>
    <t>CI 95% Valence</t>
  </si>
  <si>
    <t>B</t>
  </si>
  <si>
    <t>H</t>
  </si>
  <si>
    <t>Control</t>
  </si>
  <si>
    <t>HYPOTHESES H3 AND H4</t>
  </si>
  <si>
    <t>TOTAL Standard Deviation of Changes in Arousal</t>
  </si>
  <si>
    <t>TOTAL Standard Deviation of Changes in Valence</t>
  </si>
  <si>
    <t>TOTAL Mean Change in Arousal</t>
  </si>
  <si>
    <t>TOTAL Mean Change in Valence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</si>
</sst>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6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11" fontId="0" fillId="0" borderId="0" xfId="0" applyNumberFormat="1"/>
    <xf numFmtId="2" fontId="0" fillId="0" borderId="0" xfId="0" applyNumberFormat="1"/>
    <xf numFmtId="0" fontId="4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1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1" fillId="5" borderId="0" xfId="0" applyNumberFormat="1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2" fontId="0" fillId="6" borderId="0" xfId="0" applyNumberFormat="1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2" fontId="0" fillId="7" borderId="0" xfId="0" applyNumberFormat="1" applyFont="1" applyFill="1" applyAlignment="1">
      <alignment horizontal="center"/>
    </xf>
    <xf numFmtId="0" fontId="0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2" fontId="0" fillId="8" borderId="0" xfId="0" applyNumberFormat="1" applyFont="1" applyFill="1" applyAlignment="1">
      <alignment horizontal="center"/>
    </xf>
    <xf numFmtId="0" fontId="0" fillId="8" borderId="0" xfId="0" applyFont="1" applyFill="1" applyAlignment="1">
      <alignment horizontal="center"/>
    </xf>
    <xf numFmtId="0" fontId="1" fillId="9" borderId="0" xfId="0" applyFont="1" applyFill="1"/>
    <xf numFmtId="2" fontId="0" fillId="9" borderId="0" xfId="0" applyNumberFormat="1" applyFill="1"/>
    <xf numFmtId="0" fontId="5" fillId="9" borderId="0" xfId="0" applyFont="1" applyFill="1"/>
  </cellXfs>
  <cellStyles count="6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'Formatted Data'!$D$94</c:f>
              <c:strCache>
                <c:ptCount val="1"/>
                <c:pt idx="0">
                  <c:v>Before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'Formatted Data'!$E$101:$E$102</c:f>
                <c:numCache>
                  <c:formatCode>General</c:formatCode>
                  <c:ptCount val="2"/>
                  <c:pt idx="0">
                    <c:v>0.423318691389635</c:v>
                  </c:pt>
                  <c:pt idx="1">
                    <c:v>0.386250609950373</c:v>
                  </c:pt>
                </c:numCache>
              </c:numRef>
            </c:plus>
            <c:minus>
              <c:numRef>
                <c:f>'Formatted Data'!$E$101:$E$102</c:f>
                <c:numCache>
                  <c:formatCode>General</c:formatCode>
                  <c:ptCount val="2"/>
                  <c:pt idx="0">
                    <c:v>0.423318691389635</c:v>
                  </c:pt>
                  <c:pt idx="1">
                    <c:v>0.386250609950373</c:v>
                  </c:pt>
                </c:numCache>
              </c:numRef>
            </c:minus>
          </c:errBars>
          <c:cat>
            <c:strRef>
              <c:f>'Formatted Data'!$E$93:$F$93</c:f>
              <c:strCache>
                <c:ptCount val="2"/>
                <c:pt idx="0">
                  <c:v>Arousal</c:v>
                </c:pt>
                <c:pt idx="1">
                  <c:v>Valence</c:v>
                </c:pt>
              </c:strCache>
            </c:strRef>
          </c:cat>
          <c:val>
            <c:numRef>
              <c:f>'Formatted Data'!$E$94:$F$94</c:f>
              <c:numCache>
                <c:formatCode>0.00</c:formatCode>
                <c:ptCount val="2"/>
                <c:pt idx="0">
                  <c:v>5.267857142857143</c:v>
                </c:pt>
                <c:pt idx="1">
                  <c:v>3.976190476190476</c:v>
                </c:pt>
              </c:numCache>
            </c:numRef>
          </c:val>
        </c:ser>
        <c:ser>
          <c:idx val="1"/>
          <c:order val="1"/>
          <c:tx>
            <c:strRef>
              <c:f>'Formatted Data'!$D$95</c:f>
              <c:strCache>
                <c:ptCount val="1"/>
                <c:pt idx="0">
                  <c:v>After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'Formatted Data'!$F$101:$F$102</c:f>
                <c:numCache>
                  <c:formatCode>General</c:formatCode>
                  <c:ptCount val="2"/>
                  <c:pt idx="0">
                    <c:v>0.399526232296882</c:v>
                  </c:pt>
                  <c:pt idx="1">
                    <c:v>0.379656789155989</c:v>
                  </c:pt>
                </c:numCache>
              </c:numRef>
            </c:plus>
            <c:minus>
              <c:numRef>
                <c:f>'Formatted Data'!$F$101:$F$102</c:f>
                <c:numCache>
                  <c:formatCode>General</c:formatCode>
                  <c:ptCount val="2"/>
                  <c:pt idx="0">
                    <c:v>0.399526232296882</c:v>
                  </c:pt>
                  <c:pt idx="1">
                    <c:v>0.379656789155989</c:v>
                  </c:pt>
                </c:numCache>
              </c:numRef>
            </c:minus>
          </c:errBars>
          <c:cat>
            <c:strRef>
              <c:f>'Formatted Data'!$E$93:$F$93</c:f>
              <c:strCache>
                <c:ptCount val="2"/>
                <c:pt idx="0">
                  <c:v>Arousal</c:v>
                </c:pt>
                <c:pt idx="1">
                  <c:v>Valence</c:v>
                </c:pt>
              </c:strCache>
            </c:strRef>
          </c:cat>
          <c:val>
            <c:numRef>
              <c:f>'Formatted Data'!$E$95:$F$95</c:f>
              <c:numCache>
                <c:formatCode>0.00</c:formatCode>
                <c:ptCount val="2"/>
                <c:pt idx="0">
                  <c:v>5.190476190476191</c:v>
                </c:pt>
                <c:pt idx="1">
                  <c:v>4.547619047619048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60009736"/>
        <c:axId val="-2059963176"/>
      </c:barChart>
      <c:catAx>
        <c:axId val="-206000973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59963176"/>
        <c:crosses val="autoZero"/>
        <c:auto val="1"/>
        <c:lblAlgn val="ctr"/>
        <c:lblOffset val="100"/>
        <c:noMultiLvlLbl val="0"/>
      </c:catAx>
      <c:valAx>
        <c:axId val="-2059963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0600097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'Formatted Data'!$D$114</c:f>
              <c:strCache>
                <c:ptCount val="1"/>
                <c:pt idx="0">
                  <c:v>Control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'Formatted Data'!$D$122:$D$123</c:f>
                <c:numCache>
                  <c:formatCode>General</c:formatCode>
                  <c:ptCount val="2"/>
                  <c:pt idx="0">
                    <c:v>0.461899087366716</c:v>
                  </c:pt>
                  <c:pt idx="1">
                    <c:v>0.49502321621976</c:v>
                  </c:pt>
                </c:numCache>
              </c:numRef>
            </c:plus>
            <c:minus>
              <c:numRef>
                <c:f>'Formatted Data'!$D$122:$D$123</c:f>
                <c:numCache>
                  <c:formatCode>General</c:formatCode>
                  <c:ptCount val="2"/>
                  <c:pt idx="0">
                    <c:v>0.461899087366716</c:v>
                  </c:pt>
                  <c:pt idx="1">
                    <c:v>0.49502321621976</c:v>
                  </c:pt>
                </c:numCache>
              </c:numRef>
            </c:minus>
          </c:errBars>
          <c:cat>
            <c:strRef>
              <c:f>'Formatted Data'!$E$113:$F$113</c:f>
              <c:strCache>
                <c:ptCount val="2"/>
                <c:pt idx="0">
                  <c:v>Valence</c:v>
                </c:pt>
                <c:pt idx="1">
                  <c:v>Arousal</c:v>
                </c:pt>
              </c:strCache>
            </c:strRef>
          </c:cat>
          <c:val>
            <c:numRef>
              <c:f>'Formatted Data'!$E$114:$F$114</c:f>
              <c:numCache>
                <c:formatCode>0.00</c:formatCode>
                <c:ptCount val="2"/>
                <c:pt idx="0">
                  <c:v>0.522222222222222</c:v>
                </c:pt>
                <c:pt idx="1">
                  <c:v>-0.0333333333333333</c:v>
                </c:pt>
              </c:numCache>
            </c:numRef>
          </c:val>
        </c:ser>
        <c:ser>
          <c:idx val="1"/>
          <c:order val="1"/>
          <c:tx>
            <c:strRef>
              <c:f>'Formatted Data'!$D$115</c:f>
              <c:strCache>
                <c:ptCount val="1"/>
                <c:pt idx="0">
                  <c:v>H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'Formatted Data'!$E$122:$E$123</c:f>
                <c:numCache>
                  <c:formatCode>General</c:formatCode>
                  <c:ptCount val="2"/>
                  <c:pt idx="0">
                    <c:v>0.690150847146077</c:v>
                  </c:pt>
                  <c:pt idx="1">
                    <c:v>0.583767194125766</c:v>
                  </c:pt>
                </c:numCache>
              </c:numRef>
            </c:plus>
            <c:minus>
              <c:numRef>
                <c:f>'Formatted Data'!$E$122:$E$123</c:f>
                <c:numCache>
                  <c:formatCode>General</c:formatCode>
                  <c:ptCount val="2"/>
                  <c:pt idx="0">
                    <c:v>0.690150847146077</c:v>
                  </c:pt>
                  <c:pt idx="1">
                    <c:v>0.583767194125766</c:v>
                  </c:pt>
                </c:numCache>
              </c:numRef>
            </c:minus>
          </c:errBars>
          <c:cat>
            <c:strRef>
              <c:f>'Formatted Data'!$E$113:$F$113</c:f>
              <c:strCache>
                <c:ptCount val="2"/>
                <c:pt idx="0">
                  <c:v>Valence</c:v>
                </c:pt>
                <c:pt idx="1">
                  <c:v>Arousal</c:v>
                </c:pt>
              </c:strCache>
            </c:strRef>
          </c:cat>
          <c:val>
            <c:numRef>
              <c:f>'Formatted Data'!$E$115:$F$115</c:f>
              <c:numCache>
                <c:formatCode>0.00</c:formatCode>
                <c:ptCount val="2"/>
                <c:pt idx="0">
                  <c:v>1.097222222222222</c:v>
                </c:pt>
                <c:pt idx="1">
                  <c:v>-0.208333333333333</c:v>
                </c:pt>
              </c:numCache>
            </c:numRef>
          </c:val>
        </c:ser>
        <c:ser>
          <c:idx val="2"/>
          <c:order val="2"/>
          <c:tx>
            <c:strRef>
              <c:f>'Formatted Data'!$D$116</c:f>
              <c:strCache>
                <c:ptCount val="1"/>
                <c:pt idx="0">
                  <c:v>B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'Formatted Data'!$F$122:$F$123</c:f>
                <c:numCache>
                  <c:formatCode>General</c:formatCode>
                  <c:ptCount val="2"/>
                  <c:pt idx="0">
                    <c:v>0.30675494394573</c:v>
                  </c:pt>
                  <c:pt idx="1">
                    <c:v>0.389650290386503</c:v>
                  </c:pt>
                </c:numCache>
              </c:numRef>
            </c:plus>
            <c:minus>
              <c:numRef>
                <c:f>'Formatted Data'!$F$122:$F$123</c:f>
                <c:numCache>
                  <c:formatCode>General</c:formatCode>
                  <c:ptCount val="2"/>
                  <c:pt idx="0">
                    <c:v>0.30675494394573</c:v>
                  </c:pt>
                  <c:pt idx="1">
                    <c:v>0.389650290386503</c:v>
                  </c:pt>
                </c:numCache>
              </c:numRef>
            </c:minus>
          </c:errBars>
          <c:cat>
            <c:strRef>
              <c:f>'Formatted Data'!$E$113:$F$113</c:f>
              <c:strCache>
                <c:ptCount val="2"/>
                <c:pt idx="0">
                  <c:v>Valence</c:v>
                </c:pt>
                <c:pt idx="1">
                  <c:v>Arousal</c:v>
                </c:pt>
              </c:strCache>
            </c:strRef>
          </c:cat>
          <c:val>
            <c:numRef>
              <c:f>'Formatted Data'!$E$116:$F$116</c:f>
              <c:numCache>
                <c:formatCode>0.00</c:formatCode>
                <c:ptCount val="2"/>
                <c:pt idx="0">
                  <c:v>0.177083333333333</c:v>
                </c:pt>
                <c:pt idx="1">
                  <c:v>0.0208333333333333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38321032"/>
        <c:axId val="-2075269736"/>
      </c:barChart>
      <c:catAx>
        <c:axId val="-2038321032"/>
        <c:scaling>
          <c:orientation val="minMax"/>
        </c:scaling>
        <c:delete val="0"/>
        <c:axPos val="l"/>
        <c:majorTickMark val="out"/>
        <c:minorTickMark val="none"/>
        <c:tickLblPos val="low"/>
        <c:crossAx val="-2075269736"/>
        <c:crosses val="autoZero"/>
        <c:auto val="1"/>
        <c:lblAlgn val="ctr"/>
        <c:lblOffset val="100"/>
        <c:noMultiLvlLbl val="0"/>
      </c:catAx>
      <c:valAx>
        <c:axId val="-2075269736"/>
        <c:scaling>
          <c:orientation val="minMax"/>
          <c:max val="2.0"/>
          <c:min val="-1.0"/>
        </c:scaling>
        <c:delete val="0"/>
        <c:axPos val="b"/>
        <c:majorGridlines/>
        <c:numFmt formatCode="0.00" sourceLinked="1"/>
        <c:majorTickMark val="out"/>
        <c:minorTickMark val="none"/>
        <c:tickLblPos val="nextTo"/>
        <c:crossAx val="-2038321032"/>
        <c:crosses val="autoZero"/>
        <c:crossBetween val="between"/>
        <c:minorUnit val="0.5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279400</xdr:colOff>
      <xdr:row>91</xdr:row>
      <xdr:rowOff>133350</xdr:rowOff>
    </xdr:from>
    <xdr:to>
      <xdr:col>11</xdr:col>
      <xdr:colOff>723900</xdr:colOff>
      <xdr:row>106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111</xdr:row>
      <xdr:rowOff>57150</xdr:rowOff>
    </xdr:from>
    <xdr:to>
      <xdr:col>11</xdr:col>
      <xdr:colOff>749300</xdr:colOff>
      <xdr:row>125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87"/>
  <sheetViews>
    <sheetView workbookViewId="0">
      <selection sqref="A1:A87"/>
    </sheetView>
  </sheetViews>
  <sheetFormatPr baseColWidth="10" defaultRowHeight="15" x14ac:dyDescent="0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  <row r="20" spans="1:1">
      <c r="A20" t="s">
        <v>19</v>
      </c>
    </row>
    <row r="21" spans="1:1">
      <c r="A21" t="s">
        <v>20</v>
      </c>
    </row>
    <row r="22" spans="1:1">
      <c r="A22" t="s">
        <v>21</v>
      </c>
    </row>
    <row r="23" spans="1:1">
      <c r="A23" t="s">
        <v>22</v>
      </c>
    </row>
    <row r="24" spans="1:1">
      <c r="A24" t="s">
        <v>23</v>
      </c>
    </row>
    <row r="25" spans="1:1">
      <c r="A25" t="s">
        <v>24</v>
      </c>
    </row>
    <row r="26" spans="1:1">
      <c r="A26" t="s">
        <v>25</v>
      </c>
    </row>
    <row r="27" spans="1:1">
      <c r="A27" t="s">
        <v>26</v>
      </c>
    </row>
    <row r="28" spans="1:1">
      <c r="A28" t="s">
        <v>27</v>
      </c>
    </row>
    <row r="29" spans="1:1">
      <c r="A29" t="s">
        <v>28</v>
      </c>
    </row>
    <row r="30" spans="1:1">
      <c r="A30" t="s">
        <v>29</v>
      </c>
    </row>
    <row r="31" spans="1:1">
      <c r="A31" t="s">
        <v>30</v>
      </c>
    </row>
    <row r="32" spans="1:1">
      <c r="A32" t="s">
        <v>31</v>
      </c>
    </row>
    <row r="33" spans="1:1">
      <c r="A33" t="s">
        <v>32</v>
      </c>
    </row>
    <row r="34" spans="1:1">
      <c r="A34" t="s">
        <v>33</v>
      </c>
    </row>
    <row r="35" spans="1:1">
      <c r="A35" t="s">
        <v>34</v>
      </c>
    </row>
    <row r="36" spans="1:1">
      <c r="A36" t="s">
        <v>35</v>
      </c>
    </row>
    <row r="37" spans="1:1">
      <c r="A37" t="s">
        <v>36</v>
      </c>
    </row>
    <row r="38" spans="1:1">
      <c r="A38" t="s">
        <v>37</v>
      </c>
    </row>
    <row r="39" spans="1:1">
      <c r="A39" t="s">
        <v>38</v>
      </c>
    </row>
    <row r="40" spans="1:1">
      <c r="A40" t="s">
        <v>39</v>
      </c>
    </row>
    <row r="41" spans="1:1">
      <c r="A41" t="s">
        <v>40</v>
      </c>
    </row>
    <row r="42" spans="1:1">
      <c r="A42" t="s">
        <v>41</v>
      </c>
    </row>
    <row r="43" spans="1:1">
      <c r="A43" t="s">
        <v>42</v>
      </c>
    </row>
    <row r="44" spans="1:1">
      <c r="A44" t="s">
        <v>43</v>
      </c>
    </row>
    <row r="45" spans="1:1">
      <c r="A45" t="s">
        <v>44</v>
      </c>
    </row>
    <row r="46" spans="1:1">
      <c r="A46" t="s">
        <v>45</v>
      </c>
    </row>
    <row r="47" spans="1:1">
      <c r="A47" t="s">
        <v>46</v>
      </c>
    </row>
    <row r="48" spans="1:1">
      <c r="A48" t="s">
        <v>47</v>
      </c>
    </row>
    <row r="49" spans="1:1">
      <c r="A49" t="s">
        <v>48</v>
      </c>
    </row>
    <row r="50" spans="1:1">
      <c r="A50" t="s">
        <v>49</v>
      </c>
    </row>
    <row r="51" spans="1:1">
      <c r="A51" t="s">
        <v>50</v>
      </c>
    </row>
    <row r="52" spans="1:1">
      <c r="A52" t="s">
        <v>51</v>
      </c>
    </row>
    <row r="53" spans="1:1">
      <c r="A53" t="s">
        <v>52</v>
      </c>
    </row>
    <row r="54" spans="1:1">
      <c r="A54" t="s">
        <v>53</v>
      </c>
    </row>
    <row r="55" spans="1:1">
      <c r="A55" t="s">
        <v>54</v>
      </c>
    </row>
    <row r="56" spans="1:1">
      <c r="A56" t="s">
        <v>55</v>
      </c>
    </row>
    <row r="57" spans="1:1">
      <c r="A57" t="s">
        <v>56</v>
      </c>
    </row>
    <row r="58" spans="1:1">
      <c r="A58" t="s">
        <v>57</v>
      </c>
    </row>
    <row r="59" spans="1:1">
      <c r="A59" t="s">
        <v>58</v>
      </c>
    </row>
    <row r="60" spans="1:1">
      <c r="A60" t="s">
        <v>59</v>
      </c>
    </row>
    <row r="61" spans="1:1">
      <c r="A61" t="s">
        <v>60</v>
      </c>
    </row>
    <row r="62" spans="1:1">
      <c r="A62" s="1" t="s">
        <v>61</v>
      </c>
    </row>
    <row r="63" spans="1:1">
      <c r="A63" t="s">
        <v>62</v>
      </c>
    </row>
    <row r="64" spans="1:1">
      <c r="A64" t="s">
        <v>63</v>
      </c>
    </row>
    <row r="65" spans="1:1">
      <c r="A65" t="s">
        <v>64</v>
      </c>
    </row>
    <row r="66" spans="1:1">
      <c r="A66" t="s">
        <v>65</v>
      </c>
    </row>
    <row r="67" spans="1:1">
      <c r="A67" t="s">
        <v>66</v>
      </c>
    </row>
    <row r="68" spans="1:1">
      <c r="A68" t="s">
        <v>67</v>
      </c>
    </row>
    <row r="69" spans="1:1">
      <c r="A69" t="s">
        <v>68</v>
      </c>
    </row>
    <row r="70" spans="1:1">
      <c r="A70" t="s">
        <v>69</v>
      </c>
    </row>
    <row r="71" spans="1:1">
      <c r="A71" t="s">
        <v>70</v>
      </c>
    </row>
    <row r="72" spans="1:1">
      <c r="A72" t="s">
        <v>71</v>
      </c>
    </row>
    <row r="73" spans="1:1">
      <c r="A73" t="s">
        <v>72</v>
      </c>
    </row>
    <row r="74" spans="1:1">
      <c r="A74" t="s">
        <v>73</v>
      </c>
    </row>
    <row r="75" spans="1:1">
      <c r="A75" t="s">
        <v>74</v>
      </c>
    </row>
    <row r="76" spans="1:1">
      <c r="A76" t="s">
        <v>75</v>
      </c>
    </row>
    <row r="77" spans="1:1">
      <c r="A77" t="s">
        <v>76</v>
      </c>
    </row>
    <row r="78" spans="1:1">
      <c r="A78" t="s">
        <v>77</v>
      </c>
    </row>
    <row r="79" spans="1:1">
      <c r="A79" t="s">
        <v>78</v>
      </c>
    </row>
    <row r="80" spans="1:1">
      <c r="A80" t="s">
        <v>79</v>
      </c>
    </row>
    <row r="81" spans="1:1">
      <c r="A81" t="s">
        <v>80</v>
      </c>
    </row>
    <row r="82" spans="1:1">
      <c r="A82" t="s">
        <v>81</v>
      </c>
    </row>
    <row r="83" spans="1:1">
      <c r="A83" t="s">
        <v>82</v>
      </c>
    </row>
    <row r="84" spans="1:1">
      <c r="A84" t="s">
        <v>83</v>
      </c>
    </row>
    <row r="85" spans="1:1">
      <c r="A85" t="s">
        <v>84</v>
      </c>
    </row>
    <row r="86" spans="1:1">
      <c r="A86" t="s">
        <v>85</v>
      </c>
    </row>
    <row r="87" spans="1:1">
      <c r="A87" t="s">
        <v>86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23"/>
  <sheetViews>
    <sheetView tabSelected="1" topLeftCell="A67" workbookViewId="0">
      <selection activeCell="P100" sqref="P100"/>
    </sheetView>
  </sheetViews>
  <sheetFormatPr baseColWidth="10" defaultRowHeight="15" x14ac:dyDescent="0"/>
  <cols>
    <col min="1" max="1" width="42.6640625" customWidth="1"/>
    <col min="2" max="2" width="9.33203125" customWidth="1"/>
    <col min="3" max="3" width="15.5" customWidth="1"/>
    <col min="4" max="4" width="20.33203125" customWidth="1"/>
    <col min="21" max="21" width="18.33203125" customWidth="1"/>
    <col min="22" max="22" width="19.1640625" customWidth="1"/>
  </cols>
  <sheetData>
    <row r="1" spans="1:26">
      <c r="A1" t="s">
        <v>93</v>
      </c>
      <c r="B1" t="s">
        <v>94</v>
      </c>
      <c r="C1" t="s">
        <v>95</v>
      </c>
      <c r="D1" t="s">
        <v>96</v>
      </c>
      <c r="E1" t="s">
        <v>97</v>
      </c>
      <c r="F1" t="s">
        <v>98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  <c r="L1" t="s">
        <v>104</v>
      </c>
      <c r="M1" t="s">
        <v>105</v>
      </c>
      <c r="N1" t="s">
        <v>106</v>
      </c>
      <c r="O1" t="s">
        <v>107</v>
      </c>
      <c r="P1" t="s">
        <v>108</v>
      </c>
      <c r="Q1" t="s">
        <v>109</v>
      </c>
      <c r="R1" t="s">
        <v>110</v>
      </c>
      <c r="S1" t="s">
        <v>111</v>
      </c>
      <c r="T1" t="s">
        <v>112</v>
      </c>
      <c r="U1" t="s">
        <v>113</v>
      </c>
      <c r="V1" t="s">
        <v>114</v>
      </c>
      <c r="W1" s="3" t="s">
        <v>204</v>
      </c>
      <c r="X1" s="3" t="s">
        <v>205</v>
      </c>
      <c r="Y1" s="3" t="s">
        <v>206</v>
      </c>
      <c r="Z1" s="3" t="s">
        <v>207</v>
      </c>
    </row>
    <row r="2" spans="1:26">
      <c r="A2" t="s">
        <v>115</v>
      </c>
      <c r="B2" t="s">
        <v>116</v>
      </c>
      <c r="C2">
        <v>7</v>
      </c>
      <c r="D2">
        <v>6</v>
      </c>
      <c r="E2">
        <v>-1</v>
      </c>
      <c r="F2">
        <v>4</v>
      </c>
      <c r="G2">
        <v>4</v>
      </c>
      <c r="H2">
        <v>0</v>
      </c>
      <c r="I2">
        <v>4</v>
      </c>
      <c r="J2">
        <v>4</v>
      </c>
      <c r="K2">
        <v>0</v>
      </c>
      <c r="L2">
        <v>6</v>
      </c>
      <c r="M2">
        <v>3</v>
      </c>
      <c r="N2">
        <v>-3</v>
      </c>
      <c r="O2">
        <v>6</v>
      </c>
      <c r="P2">
        <v>3</v>
      </c>
      <c r="Q2">
        <v>-3</v>
      </c>
      <c r="R2">
        <v>4</v>
      </c>
      <c r="S2">
        <v>6</v>
      </c>
      <c r="T2">
        <v>2</v>
      </c>
      <c r="U2" s="2">
        <f>((D2-C2)+(J2-I2)+(P2-O2))/3</f>
        <v>-1.3333333333333333</v>
      </c>
      <c r="V2" s="2">
        <f>((G2-F2)+(M2-L2)+(S2-R2))/3</f>
        <v>-0.33333333333333331</v>
      </c>
      <c r="W2" s="2">
        <f>(C2+I2+O2)/3</f>
        <v>5.666666666666667</v>
      </c>
      <c r="X2" s="2">
        <f>(D2+J2+P2)/3</f>
        <v>4.333333333333333</v>
      </c>
      <c r="Y2" s="2">
        <f>(F2+L2+R2)/3</f>
        <v>4.666666666666667</v>
      </c>
      <c r="Z2" s="2">
        <f>(G2+M2+S2)/3</f>
        <v>4.333333333333333</v>
      </c>
    </row>
    <row r="3" spans="1:26">
      <c r="A3" t="s">
        <v>117</v>
      </c>
      <c r="B3" t="s">
        <v>116</v>
      </c>
      <c r="C3">
        <v>4</v>
      </c>
      <c r="D3">
        <v>4</v>
      </c>
      <c r="E3">
        <v>0</v>
      </c>
      <c r="F3">
        <v>3</v>
      </c>
      <c r="G3">
        <v>4</v>
      </c>
      <c r="H3">
        <v>1</v>
      </c>
      <c r="I3">
        <v>5</v>
      </c>
      <c r="J3">
        <v>3</v>
      </c>
      <c r="K3">
        <v>-2</v>
      </c>
      <c r="L3">
        <v>3</v>
      </c>
      <c r="M3">
        <v>2</v>
      </c>
      <c r="N3">
        <v>-1</v>
      </c>
      <c r="O3">
        <v>7</v>
      </c>
      <c r="P3">
        <v>5</v>
      </c>
      <c r="Q3">
        <v>-2</v>
      </c>
      <c r="R3">
        <v>2</v>
      </c>
      <c r="S3">
        <v>5</v>
      </c>
      <c r="T3">
        <v>3</v>
      </c>
      <c r="U3" s="2">
        <f t="shared" ref="U3:U66" si="0">((D3-C3)+(J3-I3)+(P3-O3))/3</f>
        <v>-1.3333333333333333</v>
      </c>
      <c r="V3" s="2">
        <f t="shared" ref="V3:V66" si="1">((G3-F3)+(M3-L3)+(S3-R3))/3</f>
        <v>1</v>
      </c>
      <c r="W3" s="2">
        <f t="shared" ref="W3:W66" si="2">(C3+I3+O3)/3</f>
        <v>5.333333333333333</v>
      </c>
      <c r="X3" s="2">
        <f t="shared" ref="X3:X66" si="3">(D3+J3+P3)/3</f>
        <v>4</v>
      </c>
      <c r="Y3" s="2">
        <f t="shared" ref="Y3:Y66" si="4">(F3+L3+R3)/3</f>
        <v>2.6666666666666665</v>
      </c>
      <c r="Z3" s="2">
        <f t="shared" ref="Z3:Z66" si="5">(G3+M3+S3)/3</f>
        <v>3.6666666666666665</v>
      </c>
    </row>
    <row r="4" spans="1:26">
      <c r="A4" t="s">
        <v>118</v>
      </c>
      <c r="B4" t="s">
        <v>116</v>
      </c>
      <c r="C4">
        <v>7</v>
      </c>
      <c r="D4">
        <v>8</v>
      </c>
      <c r="E4">
        <v>1</v>
      </c>
      <c r="F4">
        <v>2</v>
      </c>
      <c r="G4">
        <v>2</v>
      </c>
      <c r="H4">
        <v>0</v>
      </c>
      <c r="I4">
        <v>3</v>
      </c>
      <c r="J4">
        <v>4</v>
      </c>
      <c r="K4">
        <v>1</v>
      </c>
      <c r="L4">
        <v>3</v>
      </c>
      <c r="M4">
        <v>4</v>
      </c>
      <c r="N4">
        <v>1</v>
      </c>
      <c r="O4">
        <v>2</v>
      </c>
      <c r="P4">
        <v>3</v>
      </c>
      <c r="Q4">
        <v>1</v>
      </c>
      <c r="R4">
        <v>3</v>
      </c>
      <c r="S4">
        <v>3</v>
      </c>
      <c r="T4">
        <v>0</v>
      </c>
      <c r="U4" s="2">
        <f t="shared" si="0"/>
        <v>1</v>
      </c>
      <c r="V4" s="2">
        <f t="shared" si="1"/>
        <v>0.33333333333333331</v>
      </c>
      <c r="W4" s="2">
        <f t="shared" si="2"/>
        <v>4</v>
      </c>
      <c r="X4" s="2">
        <f t="shared" si="3"/>
        <v>5</v>
      </c>
      <c r="Y4" s="2">
        <f t="shared" si="4"/>
        <v>2.6666666666666665</v>
      </c>
      <c r="Z4" s="2">
        <f t="shared" si="5"/>
        <v>3</v>
      </c>
    </row>
    <row r="5" spans="1:26">
      <c r="A5" t="s">
        <v>119</v>
      </c>
      <c r="B5" t="s">
        <v>116</v>
      </c>
      <c r="C5">
        <v>6</v>
      </c>
      <c r="D5">
        <v>7</v>
      </c>
      <c r="E5">
        <v>1</v>
      </c>
      <c r="F5">
        <v>7</v>
      </c>
      <c r="G5">
        <v>8</v>
      </c>
      <c r="H5">
        <v>1</v>
      </c>
      <c r="I5">
        <v>6</v>
      </c>
      <c r="J5">
        <v>7</v>
      </c>
      <c r="K5">
        <v>1</v>
      </c>
      <c r="L5">
        <v>7</v>
      </c>
      <c r="M5">
        <v>7</v>
      </c>
      <c r="N5">
        <v>0</v>
      </c>
      <c r="O5">
        <v>8</v>
      </c>
      <c r="P5">
        <v>8</v>
      </c>
      <c r="Q5">
        <v>0</v>
      </c>
      <c r="R5">
        <v>7</v>
      </c>
      <c r="S5">
        <v>7</v>
      </c>
      <c r="T5">
        <v>0</v>
      </c>
      <c r="U5" s="2">
        <f t="shared" si="0"/>
        <v>0.66666666666666663</v>
      </c>
      <c r="V5" s="2">
        <f t="shared" si="1"/>
        <v>0.33333333333333331</v>
      </c>
      <c r="W5" s="2">
        <f t="shared" si="2"/>
        <v>6.666666666666667</v>
      </c>
      <c r="X5" s="2">
        <f t="shared" si="3"/>
        <v>7.333333333333333</v>
      </c>
      <c r="Y5" s="2">
        <f t="shared" si="4"/>
        <v>7</v>
      </c>
      <c r="Z5" s="2">
        <f t="shared" si="5"/>
        <v>7.333333333333333</v>
      </c>
    </row>
    <row r="6" spans="1:26">
      <c r="A6" t="s">
        <v>120</v>
      </c>
      <c r="B6" t="s">
        <v>116</v>
      </c>
      <c r="C6">
        <v>3</v>
      </c>
      <c r="D6">
        <v>2</v>
      </c>
      <c r="E6">
        <v>-1</v>
      </c>
      <c r="F6">
        <v>2</v>
      </c>
      <c r="G6">
        <v>4</v>
      </c>
      <c r="H6">
        <v>2</v>
      </c>
      <c r="I6">
        <v>2</v>
      </c>
      <c r="J6">
        <v>1</v>
      </c>
      <c r="K6">
        <v>-1</v>
      </c>
      <c r="L6">
        <v>4</v>
      </c>
      <c r="M6">
        <v>3</v>
      </c>
      <c r="N6">
        <v>-1</v>
      </c>
      <c r="O6">
        <v>6</v>
      </c>
      <c r="P6">
        <v>4</v>
      </c>
      <c r="Q6">
        <v>-2</v>
      </c>
      <c r="R6">
        <v>2</v>
      </c>
      <c r="S6">
        <v>4</v>
      </c>
      <c r="T6">
        <v>2</v>
      </c>
      <c r="U6" s="2">
        <f t="shared" si="0"/>
        <v>-1.3333333333333333</v>
      </c>
      <c r="V6" s="2">
        <f t="shared" si="1"/>
        <v>1</v>
      </c>
      <c r="W6" s="2">
        <f t="shared" si="2"/>
        <v>3.6666666666666665</v>
      </c>
      <c r="X6" s="2">
        <f t="shared" si="3"/>
        <v>2.3333333333333335</v>
      </c>
      <c r="Y6" s="2">
        <f t="shared" si="4"/>
        <v>2.6666666666666665</v>
      </c>
      <c r="Z6" s="2">
        <f t="shared" si="5"/>
        <v>3.6666666666666665</v>
      </c>
    </row>
    <row r="7" spans="1:26">
      <c r="A7" t="s">
        <v>121</v>
      </c>
      <c r="B7" t="s">
        <v>116</v>
      </c>
      <c r="C7">
        <v>7</v>
      </c>
      <c r="D7">
        <v>6</v>
      </c>
      <c r="E7">
        <v>-1</v>
      </c>
      <c r="F7">
        <v>8</v>
      </c>
      <c r="G7">
        <v>7</v>
      </c>
      <c r="H7">
        <v>-1</v>
      </c>
      <c r="I7">
        <v>6</v>
      </c>
      <c r="J7">
        <v>4</v>
      </c>
      <c r="K7">
        <v>-2</v>
      </c>
      <c r="L7">
        <v>9</v>
      </c>
      <c r="M7">
        <v>9</v>
      </c>
      <c r="N7">
        <v>0</v>
      </c>
      <c r="O7">
        <v>1</v>
      </c>
      <c r="P7">
        <v>6</v>
      </c>
      <c r="Q7">
        <v>5</v>
      </c>
      <c r="R7">
        <v>9</v>
      </c>
      <c r="S7">
        <v>9</v>
      </c>
      <c r="T7">
        <v>0</v>
      </c>
      <c r="U7" s="2">
        <f t="shared" si="0"/>
        <v>0.66666666666666663</v>
      </c>
      <c r="V7" s="2">
        <f t="shared" si="1"/>
        <v>-0.33333333333333331</v>
      </c>
      <c r="W7" s="2">
        <f t="shared" si="2"/>
        <v>4.666666666666667</v>
      </c>
      <c r="X7" s="2">
        <f t="shared" si="3"/>
        <v>5.333333333333333</v>
      </c>
      <c r="Y7" s="2">
        <f t="shared" si="4"/>
        <v>8.6666666666666661</v>
      </c>
      <c r="Z7" s="2">
        <f t="shared" si="5"/>
        <v>8.3333333333333339</v>
      </c>
    </row>
    <row r="8" spans="1:26">
      <c r="A8" t="s">
        <v>122</v>
      </c>
      <c r="B8" t="s">
        <v>116</v>
      </c>
      <c r="C8">
        <v>4</v>
      </c>
      <c r="D8">
        <v>6</v>
      </c>
      <c r="E8">
        <v>2</v>
      </c>
      <c r="F8">
        <v>3</v>
      </c>
      <c r="G8">
        <v>7</v>
      </c>
      <c r="H8">
        <v>4</v>
      </c>
      <c r="I8">
        <v>5</v>
      </c>
      <c r="J8">
        <v>4</v>
      </c>
      <c r="K8">
        <v>-1</v>
      </c>
      <c r="L8">
        <v>6</v>
      </c>
      <c r="M8">
        <v>3</v>
      </c>
      <c r="N8">
        <v>-3</v>
      </c>
      <c r="O8">
        <v>1</v>
      </c>
      <c r="P8">
        <v>3</v>
      </c>
      <c r="Q8">
        <v>2</v>
      </c>
      <c r="R8">
        <v>2</v>
      </c>
      <c r="S8">
        <v>5</v>
      </c>
      <c r="T8">
        <v>3</v>
      </c>
      <c r="U8" s="2">
        <f t="shared" si="0"/>
        <v>1</v>
      </c>
      <c r="V8" s="2">
        <f t="shared" si="1"/>
        <v>1.3333333333333333</v>
      </c>
      <c r="W8" s="2">
        <f t="shared" si="2"/>
        <v>3.3333333333333335</v>
      </c>
      <c r="X8" s="2">
        <f t="shared" si="3"/>
        <v>4.333333333333333</v>
      </c>
      <c r="Y8" s="2">
        <f t="shared" si="4"/>
        <v>3.6666666666666665</v>
      </c>
      <c r="Z8" s="2">
        <f t="shared" si="5"/>
        <v>5</v>
      </c>
    </row>
    <row r="9" spans="1:26">
      <c r="A9" t="s">
        <v>123</v>
      </c>
      <c r="B9" t="s">
        <v>116</v>
      </c>
      <c r="C9">
        <v>6</v>
      </c>
      <c r="D9">
        <v>6</v>
      </c>
      <c r="E9">
        <v>0</v>
      </c>
      <c r="F9">
        <v>4</v>
      </c>
      <c r="G9">
        <v>7</v>
      </c>
      <c r="H9">
        <v>3</v>
      </c>
      <c r="I9">
        <v>5</v>
      </c>
      <c r="J9">
        <v>9</v>
      </c>
      <c r="K9">
        <v>4</v>
      </c>
      <c r="L9">
        <v>3</v>
      </c>
      <c r="M9">
        <v>2</v>
      </c>
      <c r="N9">
        <v>-1</v>
      </c>
      <c r="O9">
        <v>7</v>
      </c>
      <c r="P9">
        <v>8</v>
      </c>
      <c r="Q9">
        <v>1</v>
      </c>
      <c r="R9">
        <v>1</v>
      </c>
      <c r="S9">
        <v>2</v>
      </c>
      <c r="T9">
        <v>1</v>
      </c>
      <c r="U9" s="2">
        <f t="shared" si="0"/>
        <v>1.6666666666666667</v>
      </c>
      <c r="V9" s="2">
        <f t="shared" si="1"/>
        <v>1</v>
      </c>
      <c r="W9" s="2">
        <f t="shared" si="2"/>
        <v>6</v>
      </c>
      <c r="X9" s="2">
        <f t="shared" si="3"/>
        <v>7.666666666666667</v>
      </c>
      <c r="Y9" s="2">
        <f t="shared" si="4"/>
        <v>2.6666666666666665</v>
      </c>
      <c r="Z9" s="2">
        <f t="shared" si="5"/>
        <v>3.6666666666666665</v>
      </c>
    </row>
    <row r="10" spans="1:26">
      <c r="A10" t="s">
        <v>124</v>
      </c>
      <c r="B10" t="s">
        <v>116</v>
      </c>
      <c r="C10">
        <v>8</v>
      </c>
      <c r="D10">
        <v>6</v>
      </c>
      <c r="E10">
        <v>-2</v>
      </c>
      <c r="F10">
        <v>3</v>
      </c>
      <c r="G10">
        <v>5</v>
      </c>
      <c r="H10">
        <v>2</v>
      </c>
      <c r="I10">
        <v>6</v>
      </c>
      <c r="J10">
        <v>6</v>
      </c>
      <c r="K10">
        <v>0</v>
      </c>
      <c r="L10">
        <v>4</v>
      </c>
      <c r="M10">
        <v>3</v>
      </c>
      <c r="N10">
        <v>-1</v>
      </c>
      <c r="O10">
        <v>7</v>
      </c>
      <c r="P10">
        <v>5</v>
      </c>
      <c r="Q10">
        <v>-2</v>
      </c>
      <c r="R10">
        <v>2</v>
      </c>
      <c r="S10">
        <v>3</v>
      </c>
      <c r="T10">
        <v>1</v>
      </c>
      <c r="U10" s="2">
        <f t="shared" si="0"/>
        <v>-1.3333333333333333</v>
      </c>
      <c r="V10" s="2">
        <f t="shared" si="1"/>
        <v>0.66666666666666663</v>
      </c>
      <c r="W10" s="2">
        <f t="shared" si="2"/>
        <v>7</v>
      </c>
      <c r="X10" s="2">
        <f t="shared" si="3"/>
        <v>5.666666666666667</v>
      </c>
      <c r="Y10" s="2">
        <f t="shared" si="4"/>
        <v>3</v>
      </c>
      <c r="Z10" s="2">
        <f t="shared" si="5"/>
        <v>3.6666666666666665</v>
      </c>
    </row>
    <row r="11" spans="1:26">
      <c r="A11" t="s">
        <v>125</v>
      </c>
      <c r="B11" t="s">
        <v>116</v>
      </c>
      <c r="C11">
        <v>6</v>
      </c>
      <c r="D11">
        <v>6</v>
      </c>
      <c r="E11">
        <v>0</v>
      </c>
      <c r="F11">
        <v>3</v>
      </c>
      <c r="G11">
        <v>1</v>
      </c>
      <c r="H11">
        <v>-2</v>
      </c>
      <c r="I11">
        <v>5</v>
      </c>
      <c r="J11">
        <v>6</v>
      </c>
      <c r="K11">
        <v>1</v>
      </c>
      <c r="L11">
        <v>8</v>
      </c>
      <c r="M11">
        <v>5</v>
      </c>
      <c r="N11">
        <v>-3</v>
      </c>
      <c r="O11">
        <v>5</v>
      </c>
      <c r="P11">
        <v>6</v>
      </c>
      <c r="Q11">
        <v>1</v>
      </c>
      <c r="R11">
        <v>9</v>
      </c>
      <c r="S11">
        <v>7</v>
      </c>
      <c r="T11">
        <v>-2</v>
      </c>
      <c r="U11" s="2">
        <f t="shared" si="0"/>
        <v>0.66666666666666663</v>
      </c>
      <c r="V11" s="2">
        <f t="shared" si="1"/>
        <v>-2.3333333333333335</v>
      </c>
      <c r="W11" s="2">
        <f t="shared" si="2"/>
        <v>5.333333333333333</v>
      </c>
      <c r="X11" s="2">
        <f t="shared" si="3"/>
        <v>6</v>
      </c>
      <c r="Y11" s="2">
        <f t="shared" si="4"/>
        <v>6.666666666666667</v>
      </c>
      <c r="Z11" s="2">
        <f t="shared" si="5"/>
        <v>4.333333333333333</v>
      </c>
    </row>
    <row r="12" spans="1:26">
      <c r="A12" t="s">
        <v>126</v>
      </c>
      <c r="B12" t="s">
        <v>116</v>
      </c>
      <c r="C12">
        <v>7</v>
      </c>
      <c r="D12">
        <v>6</v>
      </c>
      <c r="E12">
        <v>-1</v>
      </c>
      <c r="F12">
        <v>6</v>
      </c>
      <c r="G12">
        <v>5</v>
      </c>
      <c r="H12">
        <v>-1</v>
      </c>
      <c r="I12">
        <v>8</v>
      </c>
      <c r="J12">
        <v>8</v>
      </c>
      <c r="K12">
        <v>0</v>
      </c>
      <c r="L12">
        <v>3</v>
      </c>
      <c r="M12">
        <v>3</v>
      </c>
      <c r="N12">
        <v>0</v>
      </c>
      <c r="O12">
        <v>6</v>
      </c>
      <c r="P12">
        <v>6</v>
      </c>
      <c r="Q12">
        <v>0</v>
      </c>
      <c r="R12">
        <v>3</v>
      </c>
      <c r="S12">
        <v>3</v>
      </c>
      <c r="T12">
        <v>0</v>
      </c>
      <c r="U12" s="2">
        <f t="shared" si="0"/>
        <v>-0.33333333333333331</v>
      </c>
      <c r="V12" s="2">
        <f t="shared" si="1"/>
        <v>-0.33333333333333331</v>
      </c>
      <c r="W12" s="2">
        <f t="shared" si="2"/>
        <v>7</v>
      </c>
      <c r="X12" s="2">
        <f t="shared" si="3"/>
        <v>6.666666666666667</v>
      </c>
      <c r="Y12" s="2">
        <f t="shared" si="4"/>
        <v>4</v>
      </c>
      <c r="Z12" s="2">
        <f t="shared" si="5"/>
        <v>3.6666666666666665</v>
      </c>
    </row>
    <row r="13" spans="1:26">
      <c r="A13" t="s">
        <v>127</v>
      </c>
      <c r="B13" t="s">
        <v>116</v>
      </c>
      <c r="C13">
        <v>8</v>
      </c>
      <c r="D13">
        <v>8</v>
      </c>
      <c r="E13">
        <v>0</v>
      </c>
      <c r="F13">
        <v>3</v>
      </c>
      <c r="G13">
        <v>5</v>
      </c>
      <c r="H13">
        <v>2</v>
      </c>
      <c r="I13">
        <v>8</v>
      </c>
      <c r="J13">
        <v>7</v>
      </c>
      <c r="K13">
        <v>-1</v>
      </c>
      <c r="L13">
        <v>3</v>
      </c>
      <c r="M13">
        <v>2</v>
      </c>
      <c r="N13">
        <v>-1</v>
      </c>
      <c r="O13">
        <v>7</v>
      </c>
      <c r="P13">
        <v>9</v>
      </c>
      <c r="Q13">
        <v>2</v>
      </c>
      <c r="R13">
        <v>3</v>
      </c>
      <c r="S13">
        <v>5</v>
      </c>
      <c r="T13">
        <v>2</v>
      </c>
      <c r="U13" s="2">
        <f t="shared" si="0"/>
        <v>0.33333333333333331</v>
      </c>
      <c r="V13" s="2">
        <f t="shared" si="1"/>
        <v>1</v>
      </c>
      <c r="W13" s="2">
        <f t="shared" si="2"/>
        <v>7.666666666666667</v>
      </c>
      <c r="X13" s="2">
        <f t="shared" si="3"/>
        <v>8</v>
      </c>
      <c r="Y13" s="2">
        <f t="shared" si="4"/>
        <v>3</v>
      </c>
      <c r="Z13" s="2">
        <f t="shared" si="5"/>
        <v>4</v>
      </c>
    </row>
    <row r="14" spans="1:26">
      <c r="A14" t="s">
        <v>128</v>
      </c>
      <c r="B14" t="s">
        <v>116</v>
      </c>
      <c r="C14">
        <v>7</v>
      </c>
      <c r="D14">
        <v>6</v>
      </c>
      <c r="E14">
        <v>-1</v>
      </c>
      <c r="F14">
        <v>3</v>
      </c>
      <c r="G14">
        <v>7</v>
      </c>
      <c r="H14">
        <v>4</v>
      </c>
      <c r="I14">
        <v>5</v>
      </c>
      <c r="J14">
        <v>8</v>
      </c>
      <c r="K14">
        <v>3</v>
      </c>
      <c r="L14">
        <v>7</v>
      </c>
      <c r="M14">
        <v>2</v>
      </c>
      <c r="N14">
        <v>-5</v>
      </c>
      <c r="O14">
        <v>7</v>
      </c>
      <c r="P14">
        <v>6</v>
      </c>
      <c r="Q14">
        <v>-1</v>
      </c>
      <c r="R14">
        <v>3</v>
      </c>
      <c r="S14">
        <v>6</v>
      </c>
      <c r="T14">
        <v>3</v>
      </c>
      <c r="U14" s="2">
        <f t="shared" si="0"/>
        <v>0.33333333333333331</v>
      </c>
      <c r="V14" s="2">
        <f t="shared" si="1"/>
        <v>0.66666666666666663</v>
      </c>
      <c r="W14" s="2">
        <f t="shared" si="2"/>
        <v>6.333333333333333</v>
      </c>
      <c r="X14" s="2">
        <f t="shared" si="3"/>
        <v>6.666666666666667</v>
      </c>
      <c r="Y14" s="2">
        <f t="shared" si="4"/>
        <v>4.333333333333333</v>
      </c>
      <c r="Z14" s="2">
        <f t="shared" si="5"/>
        <v>5</v>
      </c>
    </row>
    <row r="15" spans="1:26">
      <c r="A15" t="s">
        <v>129</v>
      </c>
      <c r="B15" t="s">
        <v>116</v>
      </c>
      <c r="C15">
        <v>3</v>
      </c>
      <c r="D15">
        <v>3</v>
      </c>
      <c r="E15">
        <v>0</v>
      </c>
      <c r="F15">
        <v>8</v>
      </c>
      <c r="G15">
        <v>8</v>
      </c>
      <c r="H15">
        <v>0</v>
      </c>
      <c r="I15">
        <v>5</v>
      </c>
      <c r="J15">
        <v>5</v>
      </c>
      <c r="K15">
        <v>0</v>
      </c>
      <c r="L15">
        <v>5</v>
      </c>
      <c r="M15">
        <v>5</v>
      </c>
      <c r="N15">
        <v>0</v>
      </c>
      <c r="O15">
        <v>8</v>
      </c>
      <c r="P15">
        <v>8</v>
      </c>
      <c r="Q15">
        <v>0</v>
      </c>
      <c r="R15">
        <v>3</v>
      </c>
      <c r="S15">
        <v>4</v>
      </c>
      <c r="T15">
        <v>1</v>
      </c>
      <c r="U15" s="2">
        <f t="shared" si="0"/>
        <v>0</v>
      </c>
      <c r="V15" s="2">
        <f t="shared" si="1"/>
        <v>0.33333333333333331</v>
      </c>
      <c r="W15" s="2">
        <f t="shared" si="2"/>
        <v>5.333333333333333</v>
      </c>
      <c r="X15" s="2">
        <f t="shared" si="3"/>
        <v>5.333333333333333</v>
      </c>
      <c r="Y15" s="2">
        <f t="shared" si="4"/>
        <v>5.333333333333333</v>
      </c>
      <c r="Z15" s="2">
        <f t="shared" si="5"/>
        <v>5.666666666666667</v>
      </c>
    </row>
    <row r="16" spans="1:26">
      <c r="A16" t="s">
        <v>130</v>
      </c>
      <c r="B16" t="s">
        <v>116</v>
      </c>
      <c r="C16">
        <v>6</v>
      </c>
      <c r="D16">
        <v>6</v>
      </c>
      <c r="E16">
        <v>0</v>
      </c>
      <c r="F16">
        <v>5</v>
      </c>
      <c r="G16">
        <v>7</v>
      </c>
      <c r="H16">
        <v>2</v>
      </c>
      <c r="I16">
        <v>6</v>
      </c>
      <c r="J16">
        <v>6</v>
      </c>
      <c r="K16">
        <v>0</v>
      </c>
      <c r="L16">
        <v>7</v>
      </c>
      <c r="M16">
        <v>6</v>
      </c>
      <c r="N16">
        <v>-1</v>
      </c>
      <c r="O16">
        <v>6</v>
      </c>
      <c r="P16">
        <v>6</v>
      </c>
      <c r="Q16">
        <v>0</v>
      </c>
      <c r="R16">
        <v>4</v>
      </c>
      <c r="S16">
        <v>5</v>
      </c>
      <c r="T16">
        <v>1</v>
      </c>
      <c r="U16" s="2">
        <f t="shared" si="0"/>
        <v>0</v>
      </c>
      <c r="V16" s="2">
        <f t="shared" si="1"/>
        <v>0.66666666666666663</v>
      </c>
      <c r="W16" s="2">
        <f t="shared" si="2"/>
        <v>6</v>
      </c>
      <c r="X16" s="2">
        <f t="shared" si="3"/>
        <v>6</v>
      </c>
      <c r="Y16" s="2">
        <f t="shared" si="4"/>
        <v>5.333333333333333</v>
      </c>
      <c r="Z16" s="2">
        <f t="shared" si="5"/>
        <v>6</v>
      </c>
    </row>
    <row r="17" spans="1:26">
      <c r="A17" t="s">
        <v>131</v>
      </c>
      <c r="B17" t="s">
        <v>116</v>
      </c>
      <c r="C17">
        <v>3</v>
      </c>
      <c r="D17">
        <v>3</v>
      </c>
      <c r="E17">
        <v>0</v>
      </c>
      <c r="F17">
        <v>3</v>
      </c>
      <c r="G17">
        <v>4</v>
      </c>
      <c r="H17">
        <v>1</v>
      </c>
      <c r="I17">
        <v>4</v>
      </c>
      <c r="J17">
        <v>8</v>
      </c>
      <c r="K17">
        <v>4</v>
      </c>
      <c r="L17">
        <v>2</v>
      </c>
      <c r="M17">
        <v>3</v>
      </c>
      <c r="N17">
        <v>1</v>
      </c>
      <c r="O17">
        <v>6</v>
      </c>
      <c r="P17">
        <v>4</v>
      </c>
      <c r="Q17">
        <v>-2</v>
      </c>
      <c r="R17">
        <v>4</v>
      </c>
      <c r="S17">
        <v>4</v>
      </c>
      <c r="T17">
        <v>0</v>
      </c>
      <c r="U17" s="2">
        <f t="shared" si="0"/>
        <v>0.66666666666666663</v>
      </c>
      <c r="V17" s="2">
        <f t="shared" si="1"/>
        <v>0.66666666666666663</v>
      </c>
      <c r="W17" s="2">
        <f t="shared" si="2"/>
        <v>4.333333333333333</v>
      </c>
      <c r="X17" s="2">
        <f t="shared" si="3"/>
        <v>5</v>
      </c>
      <c r="Y17" s="2">
        <f t="shared" si="4"/>
        <v>3</v>
      </c>
      <c r="Z17" s="2">
        <f t="shared" si="5"/>
        <v>3.6666666666666665</v>
      </c>
    </row>
    <row r="18" spans="1:26">
      <c r="A18" t="s">
        <v>132</v>
      </c>
      <c r="B18" t="s">
        <v>116</v>
      </c>
      <c r="C18">
        <v>5</v>
      </c>
      <c r="D18">
        <v>5</v>
      </c>
      <c r="E18">
        <v>0</v>
      </c>
      <c r="F18">
        <v>3</v>
      </c>
      <c r="G18">
        <v>3</v>
      </c>
      <c r="H18">
        <v>0</v>
      </c>
      <c r="I18">
        <v>5</v>
      </c>
      <c r="J18">
        <v>7</v>
      </c>
      <c r="K18">
        <v>2</v>
      </c>
      <c r="L18">
        <v>2</v>
      </c>
      <c r="M18">
        <v>2</v>
      </c>
      <c r="N18">
        <v>0</v>
      </c>
      <c r="O18">
        <v>5</v>
      </c>
      <c r="P18">
        <v>5</v>
      </c>
      <c r="Q18">
        <v>0</v>
      </c>
      <c r="R18">
        <v>4</v>
      </c>
      <c r="S18">
        <v>4</v>
      </c>
      <c r="T18">
        <v>0</v>
      </c>
      <c r="U18" s="2">
        <f t="shared" si="0"/>
        <v>0.66666666666666663</v>
      </c>
      <c r="V18" s="2">
        <f t="shared" si="1"/>
        <v>0</v>
      </c>
      <c r="W18" s="2">
        <f t="shared" si="2"/>
        <v>5</v>
      </c>
      <c r="X18" s="2">
        <f t="shared" si="3"/>
        <v>5.666666666666667</v>
      </c>
      <c r="Y18" s="2">
        <f t="shared" si="4"/>
        <v>3</v>
      </c>
      <c r="Z18" s="2">
        <f t="shared" si="5"/>
        <v>3</v>
      </c>
    </row>
    <row r="19" spans="1:26">
      <c r="A19" t="s">
        <v>133</v>
      </c>
      <c r="B19" t="s">
        <v>116</v>
      </c>
      <c r="C19">
        <v>2</v>
      </c>
      <c r="D19">
        <v>3</v>
      </c>
      <c r="E19">
        <v>1</v>
      </c>
      <c r="F19">
        <v>5</v>
      </c>
      <c r="G19">
        <v>5</v>
      </c>
      <c r="H19">
        <v>0</v>
      </c>
      <c r="I19">
        <v>5</v>
      </c>
      <c r="J19">
        <v>6</v>
      </c>
      <c r="K19">
        <v>1</v>
      </c>
      <c r="L19">
        <v>3</v>
      </c>
      <c r="M19">
        <v>3</v>
      </c>
      <c r="N19">
        <v>0</v>
      </c>
      <c r="O19">
        <v>3</v>
      </c>
      <c r="P19">
        <v>3</v>
      </c>
      <c r="Q19">
        <v>0</v>
      </c>
      <c r="R19">
        <v>5</v>
      </c>
      <c r="S19">
        <v>5</v>
      </c>
      <c r="T19">
        <v>0</v>
      </c>
      <c r="U19" s="2">
        <f t="shared" si="0"/>
        <v>0.66666666666666663</v>
      </c>
      <c r="V19" s="2">
        <f t="shared" si="1"/>
        <v>0</v>
      </c>
      <c r="W19" s="2">
        <f t="shared" si="2"/>
        <v>3.3333333333333335</v>
      </c>
      <c r="X19" s="2">
        <f t="shared" si="3"/>
        <v>4</v>
      </c>
      <c r="Y19" s="2">
        <f t="shared" si="4"/>
        <v>4.333333333333333</v>
      </c>
      <c r="Z19" s="2">
        <f t="shared" si="5"/>
        <v>4.333333333333333</v>
      </c>
    </row>
    <row r="20" spans="1:26">
      <c r="A20" t="s">
        <v>134</v>
      </c>
      <c r="B20" t="s">
        <v>116</v>
      </c>
      <c r="C20">
        <v>7</v>
      </c>
      <c r="D20">
        <v>2</v>
      </c>
      <c r="E20">
        <v>-5</v>
      </c>
      <c r="F20">
        <v>4</v>
      </c>
      <c r="G20">
        <v>5</v>
      </c>
      <c r="H20">
        <v>1</v>
      </c>
      <c r="I20">
        <v>3</v>
      </c>
      <c r="J20">
        <v>1</v>
      </c>
      <c r="K20">
        <v>-2</v>
      </c>
      <c r="L20">
        <v>9</v>
      </c>
      <c r="M20">
        <v>9</v>
      </c>
      <c r="N20">
        <v>0</v>
      </c>
      <c r="O20">
        <v>7</v>
      </c>
      <c r="P20">
        <v>5</v>
      </c>
      <c r="Q20">
        <v>-2</v>
      </c>
      <c r="R20">
        <v>4</v>
      </c>
      <c r="S20">
        <v>6</v>
      </c>
      <c r="T20">
        <v>2</v>
      </c>
      <c r="U20" s="2">
        <f t="shared" si="0"/>
        <v>-3</v>
      </c>
      <c r="V20" s="2">
        <f t="shared" si="1"/>
        <v>1</v>
      </c>
      <c r="W20" s="2">
        <f t="shared" si="2"/>
        <v>5.666666666666667</v>
      </c>
      <c r="X20" s="2">
        <f t="shared" si="3"/>
        <v>2.6666666666666665</v>
      </c>
      <c r="Y20" s="2">
        <f t="shared" si="4"/>
        <v>5.666666666666667</v>
      </c>
      <c r="Z20" s="2">
        <f t="shared" si="5"/>
        <v>6.666666666666667</v>
      </c>
    </row>
    <row r="21" spans="1:26">
      <c r="A21" t="s">
        <v>135</v>
      </c>
      <c r="B21" t="s">
        <v>116</v>
      </c>
      <c r="C21">
        <v>7</v>
      </c>
      <c r="D21">
        <v>7</v>
      </c>
      <c r="E21">
        <v>0</v>
      </c>
      <c r="F21">
        <v>7</v>
      </c>
      <c r="G21">
        <v>7</v>
      </c>
      <c r="H21">
        <v>0</v>
      </c>
      <c r="I21">
        <v>6</v>
      </c>
      <c r="J21">
        <v>3</v>
      </c>
      <c r="K21">
        <v>-3</v>
      </c>
      <c r="L21">
        <v>5</v>
      </c>
      <c r="M21">
        <v>3</v>
      </c>
      <c r="N21">
        <v>-2</v>
      </c>
      <c r="O21">
        <v>4</v>
      </c>
      <c r="P21">
        <v>5</v>
      </c>
      <c r="Q21">
        <v>1</v>
      </c>
      <c r="R21">
        <v>2</v>
      </c>
      <c r="S21">
        <v>3</v>
      </c>
      <c r="T21">
        <v>1</v>
      </c>
      <c r="U21" s="2">
        <f t="shared" si="0"/>
        <v>-0.66666666666666663</v>
      </c>
      <c r="V21" s="2">
        <f t="shared" si="1"/>
        <v>-0.33333333333333331</v>
      </c>
      <c r="W21" s="2">
        <f t="shared" si="2"/>
        <v>5.666666666666667</v>
      </c>
      <c r="X21" s="2">
        <f t="shared" si="3"/>
        <v>5</v>
      </c>
      <c r="Y21" s="2">
        <f t="shared" si="4"/>
        <v>4.666666666666667</v>
      </c>
      <c r="Z21" s="2">
        <f t="shared" si="5"/>
        <v>4.333333333333333</v>
      </c>
    </row>
    <row r="22" spans="1:26">
      <c r="A22" t="s">
        <v>136</v>
      </c>
      <c r="B22" t="s">
        <v>116</v>
      </c>
      <c r="C22">
        <v>2</v>
      </c>
      <c r="D22">
        <v>2</v>
      </c>
      <c r="E22">
        <v>0</v>
      </c>
      <c r="F22">
        <v>2</v>
      </c>
      <c r="G22">
        <v>5</v>
      </c>
      <c r="H22">
        <v>3</v>
      </c>
      <c r="I22">
        <v>5</v>
      </c>
      <c r="J22">
        <v>5</v>
      </c>
      <c r="K22">
        <v>0</v>
      </c>
      <c r="L22">
        <v>5</v>
      </c>
      <c r="M22">
        <v>5</v>
      </c>
      <c r="N22">
        <v>0</v>
      </c>
      <c r="O22">
        <v>5</v>
      </c>
      <c r="P22">
        <v>5</v>
      </c>
      <c r="Q22">
        <v>0</v>
      </c>
      <c r="R22">
        <v>7</v>
      </c>
      <c r="S22">
        <v>5</v>
      </c>
      <c r="T22">
        <v>-2</v>
      </c>
      <c r="U22" s="2">
        <f t="shared" si="0"/>
        <v>0</v>
      </c>
      <c r="V22" s="2">
        <f t="shared" si="1"/>
        <v>0.33333333333333331</v>
      </c>
      <c r="W22" s="2">
        <f t="shared" si="2"/>
        <v>4</v>
      </c>
      <c r="X22" s="2">
        <f t="shared" si="3"/>
        <v>4</v>
      </c>
      <c r="Y22" s="2">
        <f t="shared" si="4"/>
        <v>4.666666666666667</v>
      </c>
      <c r="Z22" s="2">
        <f t="shared" si="5"/>
        <v>5</v>
      </c>
    </row>
    <row r="23" spans="1:26">
      <c r="A23" t="s">
        <v>137</v>
      </c>
      <c r="B23" t="s">
        <v>116</v>
      </c>
      <c r="C23">
        <v>6</v>
      </c>
      <c r="D23">
        <v>8</v>
      </c>
      <c r="E23">
        <v>2</v>
      </c>
      <c r="F23">
        <v>5</v>
      </c>
      <c r="G23">
        <v>1</v>
      </c>
      <c r="H23">
        <v>-4</v>
      </c>
      <c r="I23">
        <v>1</v>
      </c>
      <c r="J23">
        <v>2</v>
      </c>
      <c r="K23">
        <v>1</v>
      </c>
      <c r="L23">
        <v>1</v>
      </c>
      <c r="M23">
        <v>2</v>
      </c>
      <c r="N23">
        <v>1</v>
      </c>
      <c r="O23">
        <v>6</v>
      </c>
      <c r="P23">
        <v>4</v>
      </c>
      <c r="Q23">
        <v>-2</v>
      </c>
      <c r="R23">
        <v>2</v>
      </c>
      <c r="S23">
        <v>1</v>
      </c>
      <c r="T23">
        <v>-1</v>
      </c>
      <c r="U23" s="2">
        <f t="shared" si="0"/>
        <v>0.33333333333333331</v>
      </c>
      <c r="V23" s="2">
        <f t="shared" si="1"/>
        <v>-1.3333333333333333</v>
      </c>
      <c r="W23" s="2">
        <f t="shared" si="2"/>
        <v>4.333333333333333</v>
      </c>
      <c r="X23" s="2">
        <f t="shared" si="3"/>
        <v>4.666666666666667</v>
      </c>
      <c r="Y23" s="2">
        <f t="shared" si="4"/>
        <v>2.6666666666666665</v>
      </c>
      <c r="Z23" s="2">
        <f t="shared" si="5"/>
        <v>1.3333333333333333</v>
      </c>
    </row>
    <row r="24" spans="1:26">
      <c r="A24" t="s">
        <v>138</v>
      </c>
      <c r="B24" t="s">
        <v>116</v>
      </c>
      <c r="C24">
        <v>3</v>
      </c>
      <c r="D24">
        <v>5</v>
      </c>
      <c r="E24">
        <v>2</v>
      </c>
      <c r="F24">
        <v>7</v>
      </c>
      <c r="G24">
        <v>7</v>
      </c>
      <c r="H24">
        <v>0</v>
      </c>
      <c r="I24">
        <v>5</v>
      </c>
      <c r="J24">
        <v>4</v>
      </c>
      <c r="K24">
        <v>-1</v>
      </c>
      <c r="L24">
        <v>4</v>
      </c>
      <c r="M24">
        <v>4</v>
      </c>
      <c r="N24">
        <v>0</v>
      </c>
      <c r="O24">
        <v>5</v>
      </c>
      <c r="P24">
        <v>6</v>
      </c>
      <c r="Q24">
        <v>1</v>
      </c>
      <c r="R24">
        <v>6</v>
      </c>
      <c r="S24">
        <v>6</v>
      </c>
      <c r="T24">
        <v>0</v>
      </c>
      <c r="U24" s="2">
        <f t="shared" si="0"/>
        <v>0.66666666666666663</v>
      </c>
      <c r="V24" s="2">
        <f t="shared" si="1"/>
        <v>0</v>
      </c>
      <c r="W24" s="2">
        <f t="shared" si="2"/>
        <v>4.333333333333333</v>
      </c>
      <c r="X24" s="2">
        <f t="shared" si="3"/>
        <v>5</v>
      </c>
      <c r="Y24" s="2">
        <f t="shared" si="4"/>
        <v>5.666666666666667</v>
      </c>
      <c r="Z24" s="2">
        <f t="shared" si="5"/>
        <v>5.666666666666667</v>
      </c>
    </row>
    <row r="25" spans="1:26">
      <c r="A25" t="s">
        <v>139</v>
      </c>
      <c r="B25" t="s">
        <v>116</v>
      </c>
      <c r="C25">
        <v>3</v>
      </c>
      <c r="D25">
        <v>8</v>
      </c>
      <c r="E25">
        <v>5</v>
      </c>
      <c r="F25">
        <v>2</v>
      </c>
      <c r="G25">
        <v>3</v>
      </c>
      <c r="H25">
        <v>1</v>
      </c>
      <c r="I25">
        <v>3</v>
      </c>
      <c r="J25">
        <v>7</v>
      </c>
      <c r="K25">
        <v>4</v>
      </c>
      <c r="L25">
        <v>4</v>
      </c>
      <c r="M25">
        <v>3</v>
      </c>
      <c r="N25">
        <v>-1</v>
      </c>
      <c r="O25">
        <v>2</v>
      </c>
      <c r="P25">
        <v>2</v>
      </c>
      <c r="Q25">
        <v>0</v>
      </c>
      <c r="R25">
        <v>4</v>
      </c>
      <c r="S25">
        <v>4</v>
      </c>
      <c r="T25">
        <v>0</v>
      </c>
      <c r="U25" s="2">
        <f t="shared" si="0"/>
        <v>3</v>
      </c>
      <c r="V25" s="2">
        <f t="shared" si="1"/>
        <v>0</v>
      </c>
      <c r="W25" s="2">
        <f t="shared" si="2"/>
        <v>2.6666666666666665</v>
      </c>
      <c r="X25" s="2">
        <f t="shared" si="3"/>
        <v>5.666666666666667</v>
      </c>
      <c r="Y25" s="2">
        <f t="shared" si="4"/>
        <v>3.3333333333333335</v>
      </c>
      <c r="Z25" s="2">
        <f t="shared" si="5"/>
        <v>3.3333333333333335</v>
      </c>
    </row>
    <row r="26" spans="1:26">
      <c r="A26" t="s">
        <v>140</v>
      </c>
      <c r="B26" t="s">
        <v>116</v>
      </c>
      <c r="C26">
        <v>5</v>
      </c>
      <c r="D26">
        <v>6</v>
      </c>
      <c r="E26">
        <v>1</v>
      </c>
      <c r="F26">
        <v>9</v>
      </c>
      <c r="G26">
        <v>3</v>
      </c>
      <c r="H26">
        <v>-6</v>
      </c>
      <c r="I26">
        <v>4</v>
      </c>
      <c r="J26">
        <v>2</v>
      </c>
      <c r="K26">
        <v>-2</v>
      </c>
      <c r="L26">
        <v>4</v>
      </c>
      <c r="M26">
        <v>3</v>
      </c>
      <c r="N26">
        <v>-1</v>
      </c>
      <c r="O26">
        <v>6</v>
      </c>
      <c r="P26">
        <v>4</v>
      </c>
      <c r="Q26">
        <v>-2</v>
      </c>
      <c r="R26">
        <v>5</v>
      </c>
      <c r="S26">
        <v>7</v>
      </c>
      <c r="T26">
        <v>2</v>
      </c>
      <c r="U26" s="2">
        <f t="shared" si="0"/>
        <v>-1</v>
      </c>
      <c r="V26" s="2">
        <f t="shared" si="1"/>
        <v>-1.6666666666666667</v>
      </c>
      <c r="W26" s="2">
        <f t="shared" si="2"/>
        <v>5</v>
      </c>
      <c r="X26" s="2">
        <f t="shared" si="3"/>
        <v>4</v>
      </c>
      <c r="Y26" s="2">
        <f t="shared" si="4"/>
        <v>6</v>
      </c>
      <c r="Z26" s="2">
        <f t="shared" si="5"/>
        <v>4.333333333333333</v>
      </c>
    </row>
    <row r="27" spans="1:26">
      <c r="A27" t="s">
        <v>141</v>
      </c>
      <c r="B27" t="s">
        <v>116</v>
      </c>
      <c r="C27">
        <v>7</v>
      </c>
      <c r="D27">
        <v>6</v>
      </c>
      <c r="E27">
        <v>-1</v>
      </c>
      <c r="F27">
        <v>5</v>
      </c>
      <c r="G27">
        <v>7</v>
      </c>
      <c r="H27">
        <v>2</v>
      </c>
      <c r="I27">
        <v>7</v>
      </c>
      <c r="J27">
        <v>7</v>
      </c>
      <c r="K27">
        <v>0</v>
      </c>
      <c r="L27">
        <v>8</v>
      </c>
      <c r="M27">
        <v>5</v>
      </c>
      <c r="N27">
        <v>-3</v>
      </c>
      <c r="O27">
        <v>7</v>
      </c>
      <c r="P27">
        <v>6</v>
      </c>
      <c r="Q27">
        <v>-1</v>
      </c>
      <c r="R27">
        <v>3</v>
      </c>
      <c r="S27">
        <v>3</v>
      </c>
      <c r="T27">
        <v>0</v>
      </c>
      <c r="U27" s="2">
        <f t="shared" si="0"/>
        <v>-0.66666666666666663</v>
      </c>
      <c r="V27" s="2">
        <f t="shared" si="1"/>
        <v>-0.33333333333333331</v>
      </c>
      <c r="W27" s="2">
        <f t="shared" si="2"/>
        <v>7</v>
      </c>
      <c r="X27" s="2">
        <f t="shared" si="3"/>
        <v>6.333333333333333</v>
      </c>
      <c r="Y27" s="2">
        <f t="shared" si="4"/>
        <v>5.333333333333333</v>
      </c>
      <c r="Z27" s="2">
        <f t="shared" si="5"/>
        <v>5</v>
      </c>
    </row>
    <row r="28" spans="1:26">
      <c r="A28" t="s">
        <v>142</v>
      </c>
      <c r="B28" t="s">
        <v>116</v>
      </c>
      <c r="C28">
        <v>7</v>
      </c>
      <c r="D28">
        <v>8</v>
      </c>
      <c r="E28">
        <v>1</v>
      </c>
      <c r="F28">
        <v>2</v>
      </c>
      <c r="G28">
        <v>4</v>
      </c>
      <c r="H28">
        <v>2</v>
      </c>
      <c r="I28">
        <v>6</v>
      </c>
      <c r="J28">
        <v>3</v>
      </c>
      <c r="K28">
        <v>-3</v>
      </c>
      <c r="L28">
        <v>6</v>
      </c>
      <c r="M28">
        <v>4</v>
      </c>
      <c r="N28">
        <v>-2</v>
      </c>
      <c r="O28">
        <v>6</v>
      </c>
      <c r="P28">
        <v>6</v>
      </c>
      <c r="Q28">
        <v>0</v>
      </c>
      <c r="R28">
        <v>4</v>
      </c>
      <c r="S28">
        <v>6</v>
      </c>
      <c r="T28">
        <v>2</v>
      </c>
      <c r="U28" s="2">
        <f t="shared" si="0"/>
        <v>-0.66666666666666663</v>
      </c>
      <c r="V28" s="2">
        <f t="shared" si="1"/>
        <v>0.66666666666666663</v>
      </c>
      <c r="W28" s="2">
        <f t="shared" si="2"/>
        <v>6.333333333333333</v>
      </c>
      <c r="X28" s="2">
        <f t="shared" si="3"/>
        <v>5.666666666666667</v>
      </c>
      <c r="Y28" s="2">
        <f t="shared" si="4"/>
        <v>4</v>
      </c>
      <c r="Z28" s="2">
        <f t="shared" si="5"/>
        <v>4.666666666666667</v>
      </c>
    </row>
    <row r="29" spans="1:26">
      <c r="A29" t="s">
        <v>143</v>
      </c>
      <c r="B29" t="s">
        <v>116</v>
      </c>
      <c r="C29">
        <v>7</v>
      </c>
      <c r="D29">
        <v>8</v>
      </c>
      <c r="E29">
        <v>1</v>
      </c>
      <c r="F29">
        <v>3</v>
      </c>
      <c r="G29">
        <v>1</v>
      </c>
      <c r="H29">
        <v>-2</v>
      </c>
      <c r="I29">
        <v>7</v>
      </c>
      <c r="J29">
        <v>6</v>
      </c>
      <c r="K29">
        <v>-1</v>
      </c>
      <c r="L29">
        <v>2</v>
      </c>
      <c r="M29">
        <v>4</v>
      </c>
      <c r="N29">
        <v>2</v>
      </c>
      <c r="O29">
        <v>6</v>
      </c>
      <c r="P29">
        <v>7</v>
      </c>
      <c r="Q29">
        <v>1</v>
      </c>
      <c r="R29">
        <v>4</v>
      </c>
      <c r="S29">
        <v>2</v>
      </c>
      <c r="T29">
        <v>-2</v>
      </c>
      <c r="U29" s="2">
        <f t="shared" si="0"/>
        <v>0.33333333333333331</v>
      </c>
      <c r="V29" s="2">
        <f t="shared" si="1"/>
        <v>-0.66666666666666663</v>
      </c>
      <c r="W29" s="2">
        <f t="shared" si="2"/>
        <v>6.666666666666667</v>
      </c>
      <c r="X29" s="2">
        <f t="shared" si="3"/>
        <v>7</v>
      </c>
      <c r="Y29" s="2">
        <f t="shared" si="4"/>
        <v>3</v>
      </c>
      <c r="Z29" s="2">
        <f t="shared" si="5"/>
        <v>2.3333333333333335</v>
      </c>
    </row>
    <row r="30" spans="1:26">
      <c r="A30" t="s">
        <v>144</v>
      </c>
      <c r="B30" t="s">
        <v>116</v>
      </c>
      <c r="C30">
        <v>7</v>
      </c>
      <c r="D30">
        <v>7</v>
      </c>
      <c r="E30">
        <v>0</v>
      </c>
      <c r="F30">
        <v>7</v>
      </c>
      <c r="G30">
        <v>7</v>
      </c>
      <c r="H30">
        <v>0</v>
      </c>
      <c r="I30">
        <v>8</v>
      </c>
      <c r="J30">
        <v>8</v>
      </c>
      <c r="K30">
        <v>0</v>
      </c>
      <c r="L30">
        <v>2</v>
      </c>
      <c r="M30">
        <v>2</v>
      </c>
      <c r="N30">
        <v>0</v>
      </c>
      <c r="O30">
        <v>6</v>
      </c>
      <c r="P30">
        <v>6</v>
      </c>
      <c r="Q30">
        <v>0</v>
      </c>
      <c r="R30">
        <v>2</v>
      </c>
      <c r="S30">
        <v>1</v>
      </c>
      <c r="T30">
        <v>-1</v>
      </c>
      <c r="U30" s="2">
        <f t="shared" si="0"/>
        <v>0</v>
      </c>
      <c r="V30" s="2">
        <f t="shared" si="1"/>
        <v>-0.33333333333333331</v>
      </c>
      <c r="W30" s="2">
        <f t="shared" si="2"/>
        <v>7</v>
      </c>
      <c r="X30" s="2">
        <f t="shared" si="3"/>
        <v>7</v>
      </c>
      <c r="Y30" s="2">
        <f t="shared" si="4"/>
        <v>3.6666666666666665</v>
      </c>
      <c r="Z30" s="2">
        <f t="shared" si="5"/>
        <v>3.3333333333333335</v>
      </c>
    </row>
    <row r="31" spans="1:26">
      <c r="A31" t="s">
        <v>145</v>
      </c>
      <c r="B31" t="s">
        <v>116</v>
      </c>
      <c r="C31">
        <v>5</v>
      </c>
      <c r="D31">
        <v>5</v>
      </c>
      <c r="E31">
        <v>0</v>
      </c>
      <c r="F31">
        <v>3</v>
      </c>
      <c r="G31">
        <v>3</v>
      </c>
      <c r="H31">
        <v>0</v>
      </c>
      <c r="I31">
        <v>2</v>
      </c>
      <c r="J31">
        <v>2</v>
      </c>
      <c r="K31">
        <v>0</v>
      </c>
      <c r="L31">
        <v>1</v>
      </c>
      <c r="M31">
        <v>2</v>
      </c>
      <c r="N31">
        <v>1</v>
      </c>
      <c r="O31">
        <v>7</v>
      </c>
      <c r="P31">
        <v>6</v>
      </c>
      <c r="Q31">
        <v>-1</v>
      </c>
      <c r="R31">
        <v>2</v>
      </c>
      <c r="S31">
        <v>2</v>
      </c>
      <c r="T31">
        <v>0</v>
      </c>
      <c r="U31" s="2">
        <f t="shared" si="0"/>
        <v>-0.33333333333333331</v>
      </c>
      <c r="V31" s="2">
        <f t="shared" si="1"/>
        <v>0.33333333333333331</v>
      </c>
      <c r="W31" s="2">
        <f t="shared" si="2"/>
        <v>4.666666666666667</v>
      </c>
      <c r="X31" s="2">
        <f t="shared" si="3"/>
        <v>4.333333333333333</v>
      </c>
      <c r="Y31" s="2">
        <f t="shared" si="4"/>
        <v>2</v>
      </c>
      <c r="Z31" s="2">
        <f t="shared" si="5"/>
        <v>2.3333333333333335</v>
      </c>
    </row>
    <row r="32" spans="1:26">
      <c r="A32" t="s">
        <v>146</v>
      </c>
      <c r="B32" t="s">
        <v>116</v>
      </c>
      <c r="C32">
        <v>6</v>
      </c>
      <c r="D32">
        <v>5</v>
      </c>
      <c r="E32">
        <v>-1</v>
      </c>
      <c r="F32">
        <v>5</v>
      </c>
      <c r="G32">
        <v>5</v>
      </c>
      <c r="H32">
        <v>0</v>
      </c>
      <c r="I32">
        <v>8</v>
      </c>
      <c r="J32">
        <v>9</v>
      </c>
      <c r="K32">
        <v>1</v>
      </c>
      <c r="L32">
        <v>2</v>
      </c>
      <c r="M32">
        <v>2</v>
      </c>
      <c r="N32">
        <v>0</v>
      </c>
      <c r="O32">
        <v>8</v>
      </c>
      <c r="P32">
        <v>7</v>
      </c>
      <c r="Q32">
        <v>-1</v>
      </c>
      <c r="R32">
        <v>3</v>
      </c>
      <c r="S32">
        <v>7</v>
      </c>
      <c r="T32">
        <v>4</v>
      </c>
      <c r="U32" s="2">
        <f t="shared" si="0"/>
        <v>-0.33333333333333331</v>
      </c>
      <c r="V32" s="2">
        <f t="shared" si="1"/>
        <v>1.3333333333333333</v>
      </c>
      <c r="W32" s="2">
        <f t="shared" si="2"/>
        <v>7.333333333333333</v>
      </c>
      <c r="X32" s="2">
        <f t="shared" si="3"/>
        <v>7</v>
      </c>
      <c r="Y32" s="2">
        <f t="shared" si="4"/>
        <v>3.3333333333333335</v>
      </c>
      <c r="Z32" s="2">
        <f t="shared" si="5"/>
        <v>4.666666666666667</v>
      </c>
    </row>
    <row r="33" spans="1:26">
      <c r="A33" t="s">
        <v>147</v>
      </c>
      <c r="B33" t="s">
        <v>116</v>
      </c>
      <c r="C33">
        <v>3</v>
      </c>
      <c r="D33">
        <v>1</v>
      </c>
      <c r="E33">
        <v>-2</v>
      </c>
      <c r="F33">
        <v>3</v>
      </c>
      <c r="G33">
        <v>3</v>
      </c>
      <c r="H33">
        <v>0</v>
      </c>
      <c r="I33">
        <v>3</v>
      </c>
      <c r="J33">
        <v>6</v>
      </c>
      <c r="K33">
        <v>3</v>
      </c>
      <c r="L33">
        <v>2</v>
      </c>
      <c r="M33">
        <v>3</v>
      </c>
      <c r="N33">
        <v>1</v>
      </c>
      <c r="O33">
        <v>3</v>
      </c>
      <c r="P33">
        <v>3</v>
      </c>
      <c r="Q33">
        <v>0</v>
      </c>
      <c r="R33">
        <v>5</v>
      </c>
      <c r="S33">
        <v>7</v>
      </c>
      <c r="T33">
        <v>2</v>
      </c>
      <c r="U33" s="2">
        <f t="shared" si="0"/>
        <v>0.33333333333333331</v>
      </c>
      <c r="V33" s="2">
        <f t="shared" si="1"/>
        <v>1</v>
      </c>
      <c r="W33" s="2">
        <f t="shared" si="2"/>
        <v>3</v>
      </c>
      <c r="X33" s="2">
        <f t="shared" si="3"/>
        <v>3.3333333333333335</v>
      </c>
      <c r="Y33" s="2">
        <f t="shared" si="4"/>
        <v>3.3333333333333335</v>
      </c>
      <c r="Z33" s="2">
        <f t="shared" si="5"/>
        <v>4.333333333333333</v>
      </c>
    </row>
    <row r="34" spans="1:26">
      <c r="A34" t="s">
        <v>148</v>
      </c>
      <c r="B34" t="s">
        <v>149</v>
      </c>
      <c r="C34">
        <v>7</v>
      </c>
      <c r="D34">
        <v>6</v>
      </c>
      <c r="E34">
        <v>-1</v>
      </c>
      <c r="F34">
        <v>6</v>
      </c>
      <c r="G34">
        <v>6</v>
      </c>
      <c r="H34">
        <v>0</v>
      </c>
      <c r="I34">
        <v>9</v>
      </c>
      <c r="J34">
        <v>4</v>
      </c>
      <c r="K34">
        <v>-5</v>
      </c>
      <c r="L34">
        <v>2</v>
      </c>
      <c r="M34">
        <v>8</v>
      </c>
      <c r="N34">
        <v>6</v>
      </c>
      <c r="O34">
        <v>6</v>
      </c>
      <c r="P34">
        <v>6</v>
      </c>
      <c r="Q34">
        <v>0</v>
      </c>
      <c r="R34">
        <v>3</v>
      </c>
      <c r="S34">
        <v>5</v>
      </c>
      <c r="T34">
        <v>2</v>
      </c>
      <c r="U34" s="2">
        <f t="shared" si="0"/>
        <v>-2</v>
      </c>
      <c r="V34" s="2">
        <f t="shared" si="1"/>
        <v>2.6666666666666665</v>
      </c>
      <c r="W34" s="2">
        <f t="shared" si="2"/>
        <v>7.333333333333333</v>
      </c>
      <c r="X34" s="2">
        <f t="shared" si="3"/>
        <v>5.333333333333333</v>
      </c>
      <c r="Y34" s="2">
        <f t="shared" si="4"/>
        <v>3.6666666666666665</v>
      </c>
      <c r="Z34" s="2">
        <f t="shared" si="5"/>
        <v>6.333333333333333</v>
      </c>
    </row>
    <row r="35" spans="1:26">
      <c r="A35" t="s">
        <v>150</v>
      </c>
      <c r="B35" t="s">
        <v>149</v>
      </c>
      <c r="C35">
        <v>3</v>
      </c>
      <c r="D35">
        <v>6</v>
      </c>
      <c r="E35">
        <v>3</v>
      </c>
      <c r="F35">
        <v>4</v>
      </c>
      <c r="G35">
        <v>5</v>
      </c>
      <c r="H35">
        <v>1</v>
      </c>
      <c r="I35">
        <v>2</v>
      </c>
      <c r="J35">
        <v>4</v>
      </c>
      <c r="K35">
        <v>2</v>
      </c>
      <c r="L35">
        <v>3</v>
      </c>
      <c r="M35">
        <v>5</v>
      </c>
      <c r="N35">
        <v>2</v>
      </c>
      <c r="O35">
        <v>8</v>
      </c>
      <c r="P35">
        <v>6</v>
      </c>
      <c r="Q35">
        <v>-2</v>
      </c>
      <c r="R35">
        <v>5</v>
      </c>
      <c r="S35">
        <v>5</v>
      </c>
      <c r="T35">
        <v>0</v>
      </c>
      <c r="U35" s="2">
        <f t="shared" si="0"/>
        <v>1</v>
      </c>
      <c r="V35" s="2">
        <f t="shared" si="1"/>
        <v>1</v>
      </c>
      <c r="W35" s="2">
        <f t="shared" si="2"/>
        <v>4.333333333333333</v>
      </c>
      <c r="X35" s="2">
        <f t="shared" si="3"/>
        <v>5.333333333333333</v>
      </c>
      <c r="Y35" s="2">
        <f t="shared" si="4"/>
        <v>4</v>
      </c>
      <c r="Z35" s="2">
        <f t="shared" si="5"/>
        <v>5</v>
      </c>
    </row>
    <row r="36" spans="1:26">
      <c r="A36" t="s">
        <v>151</v>
      </c>
      <c r="B36" t="s">
        <v>149</v>
      </c>
      <c r="C36">
        <v>5</v>
      </c>
      <c r="D36">
        <v>3</v>
      </c>
      <c r="E36">
        <v>-2</v>
      </c>
      <c r="F36">
        <v>5</v>
      </c>
      <c r="G36">
        <v>8</v>
      </c>
      <c r="H36">
        <v>3</v>
      </c>
      <c r="I36">
        <v>6</v>
      </c>
      <c r="J36">
        <v>8</v>
      </c>
      <c r="K36">
        <v>2</v>
      </c>
      <c r="L36">
        <v>4</v>
      </c>
      <c r="M36">
        <v>3</v>
      </c>
      <c r="N36">
        <v>-1</v>
      </c>
      <c r="O36">
        <v>3</v>
      </c>
      <c r="P36">
        <v>3</v>
      </c>
      <c r="Q36">
        <v>0</v>
      </c>
      <c r="R36">
        <v>3</v>
      </c>
      <c r="S36">
        <v>6</v>
      </c>
      <c r="T36">
        <v>3</v>
      </c>
      <c r="U36" s="2">
        <f t="shared" si="0"/>
        <v>0</v>
      </c>
      <c r="V36" s="2">
        <f t="shared" si="1"/>
        <v>1.6666666666666667</v>
      </c>
      <c r="W36" s="2">
        <f t="shared" si="2"/>
        <v>4.666666666666667</v>
      </c>
      <c r="X36" s="2">
        <f t="shared" si="3"/>
        <v>4.666666666666667</v>
      </c>
      <c r="Y36" s="2">
        <f t="shared" si="4"/>
        <v>4</v>
      </c>
      <c r="Z36" s="2">
        <f t="shared" si="5"/>
        <v>5.666666666666667</v>
      </c>
    </row>
    <row r="37" spans="1:26">
      <c r="A37" t="s">
        <v>152</v>
      </c>
      <c r="B37" t="s">
        <v>149</v>
      </c>
      <c r="C37">
        <v>7</v>
      </c>
      <c r="D37">
        <v>6</v>
      </c>
      <c r="E37">
        <v>-1</v>
      </c>
      <c r="F37">
        <v>3</v>
      </c>
      <c r="G37">
        <v>5</v>
      </c>
      <c r="H37">
        <v>2</v>
      </c>
      <c r="I37">
        <v>5</v>
      </c>
      <c r="J37">
        <v>5</v>
      </c>
      <c r="K37">
        <v>0</v>
      </c>
      <c r="L37">
        <v>4</v>
      </c>
      <c r="M37">
        <v>5</v>
      </c>
      <c r="N37">
        <v>1</v>
      </c>
      <c r="O37">
        <v>8</v>
      </c>
      <c r="P37">
        <v>6</v>
      </c>
      <c r="Q37">
        <v>-2</v>
      </c>
      <c r="R37">
        <v>4</v>
      </c>
      <c r="S37">
        <v>4</v>
      </c>
      <c r="T37">
        <v>0</v>
      </c>
      <c r="U37" s="2">
        <f t="shared" si="0"/>
        <v>-1</v>
      </c>
      <c r="V37" s="2">
        <f t="shared" si="1"/>
        <v>1</v>
      </c>
      <c r="W37" s="2">
        <f t="shared" si="2"/>
        <v>6.666666666666667</v>
      </c>
      <c r="X37" s="2">
        <f t="shared" si="3"/>
        <v>5.666666666666667</v>
      </c>
      <c r="Y37" s="2">
        <f t="shared" si="4"/>
        <v>3.6666666666666665</v>
      </c>
      <c r="Z37" s="2">
        <f t="shared" si="5"/>
        <v>4.666666666666667</v>
      </c>
    </row>
    <row r="38" spans="1:26">
      <c r="A38" t="s">
        <v>153</v>
      </c>
      <c r="B38" t="s">
        <v>149</v>
      </c>
      <c r="C38">
        <v>7</v>
      </c>
      <c r="D38">
        <v>8</v>
      </c>
      <c r="E38">
        <v>1</v>
      </c>
      <c r="F38">
        <v>3</v>
      </c>
      <c r="G38">
        <v>8</v>
      </c>
      <c r="H38">
        <v>5</v>
      </c>
      <c r="I38">
        <v>3</v>
      </c>
      <c r="J38">
        <v>7</v>
      </c>
      <c r="K38">
        <v>4</v>
      </c>
      <c r="L38">
        <v>2</v>
      </c>
      <c r="M38">
        <v>7</v>
      </c>
      <c r="N38">
        <v>5</v>
      </c>
      <c r="O38">
        <v>6</v>
      </c>
      <c r="P38">
        <v>7</v>
      </c>
      <c r="Q38">
        <v>1</v>
      </c>
      <c r="R38">
        <v>4</v>
      </c>
      <c r="S38">
        <v>8</v>
      </c>
      <c r="T38">
        <v>4</v>
      </c>
      <c r="U38" s="2">
        <f t="shared" si="0"/>
        <v>2</v>
      </c>
      <c r="V38" s="2">
        <f t="shared" si="1"/>
        <v>4.666666666666667</v>
      </c>
      <c r="W38" s="2">
        <f t="shared" si="2"/>
        <v>5.333333333333333</v>
      </c>
      <c r="X38" s="2">
        <f t="shared" si="3"/>
        <v>7.333333333333333</v>
      </c>
      <c r="Y38" s="2">
        <f t="shared" si="4"/>
        <v>3</v>
      </c>
      <c r="Z38" s="2">
        <f t="shared" si="5"/>
        <v>7.666666666666667</v>
      </c>
    </row>
    <row r="39" spans="1:26">
      <c r="A39" t="s">
        <v>154</v>
      </c>
      <c r="B39" t="s">
        <v>149</v>
      </c>
      <c r="C39">
        <v>6</v>
      </c>
      <c r="D39">
        <v>6</v>
      </c>
      <c r="E39">
        <v>0</v>
      </c>
      <c r="F39">
        <v>5</v>
      </c>
      <c r="G39">
        <v>5</v>
      </c>
      <c r="H39">
        <v>0</v>
      </c>
      <c r="I39">
        <v>7</v>
      </c>
      <c r="J39">
        <v>4</v>
      </c>
      <c r="K39">
        <v>-3</v>
      </c>
      <c r="L39">
        <v>3</v>
      </c>
      <c r="M39">
        <v>8</v>
      </c>
      <c r="N39">
        <v>5</v>
      </c>
      <c r="O39">
        <v>8</v>
      </c>
      <c r="P39">
        <v>7</v>
      </c>
      <c r="Q39">
        <v>-1</v>
      </c>
      <c r="R39">
        <v>3</v>
      </c>
      <c r="S39">
        <v>8</v>
      </c>
      <c r="T39">
        <v>5</v>
      </c>
      <c r="U39" s="2">
        <f t="shared" si="0"/>
        <v>-1.3333333333333333</v>
      </c>
      <c r="V39" s="2">
        <f t="shared" si="1"/>
        <v>3.3333333333333335</v>
      </c>
      <c r="W39" s="2">
        <f t="shared" si="2"/>
        <v>7</v>
      </c>
      <c r="X39" s="2">
        <f t="shared" si="3"/>
        <v>5.666666666666667</v>
      </c>
      <c r="Y39" s="2">
        <f t="shared" si="4"/>
        <v>3.6666666666666665</v>
      </c>
      <c r="Z39" s="2">
        <f t="shared" si="5"/>
        <v>7</v>
      </c>
    </row>
    <row r="40" spans="1:26">
      <c r="A40" t="s">
        <v>155</v>
      </c>
      <c r="B40" t="s">
        <v>149</v>
      </c>
      <c r="C40">
        <v>1</v>
      </c>
      <c r="D40">
        <v>1</v>
      </c>
      <c r="E40">
        <v>0</v>
      </c>
      <c r="F40">
        <v>2</v>
      </c>
      <c r="G40">
        <v>5</v>
      </c>
      <c r="H40">
        <v>3</v>
      </c>
      <c r="I40">
        <v>3</v>
      </c>
      <c r="J40">
        <v>3</v>
      </c>
      <c r="K40">
        <v>0</v>
      </c>
      <c r="L40">
        <v>4</v>
      </c>
      <c r="M40">
        <v>6</v>
      </c>
      <c r="N40">
        <v>2</v>
      </c>
      <c r="O40">
        <v>1</v>
      </c>
      <c r="P40">
        <v>1</v>
      </c>
      <c r="Q40">
        <v>0</v>
      </c>
      <c r="R40">
        <v>2</v>
      </c>
      <c r="S40">
        <v>3</v>
      </c>
      <c r="T40">
        <v>1</v>
      </c>
      <c r="U40" s="2">
        <f t="shared" si="0"/>
        <v>0</v>
      </c>
      <c r="V40" s="2">
        <f t="shared" si="1"/>
        <v>2</v>
      </c>
      <c r="W40" s="2">
        <f t="shared" si="2"/>
        <v>1.6666666666666667</v>
      </c>
      <c r="X40" s="2">
        <f t="shared" si="3"/>
        <v>1.6666666666666667</v>
      </c>
      <c r="Y40" s="2">
        <f t="shared" si="4"/>
        <v>2.6666666666666665</v>
      </c>
      <c r="Z40" s="2">
        <f t="shared" si="5"/>
        <v>4.666666666666667</v>
      </c>
    </row>
    <row r="41" spans="1:26">
      <c r="A41" t="s">
        <v>156</v>
      </c>
      <c r="B41" t="s">
        <v>149</v>
      </c>
      <c r="C41">
        <v>8</v>
      </c>
      <c r="D41">
        <v>7</v>
      </c>
      <c r="E41">
        <v>-1</v>
      </c>
      <c r="F41">
        <v>3</v>
      </c>
      <c r="G41">
        <v>4</v>
      </c>
      <c r="H41">
        <v>1</v>
      </c>
      <c r="I41">
        <v>7</v>
      </c>
      <c r="J41">
        <v>5</v>
      </c>
      <c r="K41">
        <v>-2</v>
      </c>
      <c r="L41">
        <v>4</v>
      </c>
      <c r="M41">
        <v>6</v>
      </c>
      <c r="N41">
        <v>2</v>
      </c>
      <c r="O41">
        <v>7</v>
      </c>
      <c r="P41">
        <v>6</v>
      </c>
      <c r="Q41">
        <v>-1</v>
      </c>
      <c r="R41">
        <v>4</v>
      </c>
      <c r="S41">
        <v>5</v>
      </c>
      <c r="T41">
        <v>1</v>
      </c>
      <c r="U41" s="2">
        <f t="shared" si="0"/>
        <v>-1.3333333333333333</v>
      </c>
      <c r="V41" s="2">
        <f t="shared" si="1"/>
        <v>1.3333333333333333</v>
      </c>
      <c r="W41" s="2">
        <f t="shared" si="2"/>
        <v>7.333333333333333</v>
      </c>
      <c r="X41" s="2">
        <f t="shared" si="3"/>
        <v>6</v>
      </c>
      <c r="Y41" s="2">
        <f t="shared" si="4"/>
        <v>3.6666666666666665</v>
      </c>
      <c r="Z41" s="2">
        <f t="shared" si="5"/>
        <v>5</v>
      </c>
    </row>
    <row r="42" spans="1:26">
      <c r="A42" t="s">
        <v>157</v>
      </c>
      <c r="B42" t="s">
        <v>149</v>
      </c>
      <c r="C42">
        <v>4</v>
      </c>
      <c r="D42">
        <v>7</v>
      </c>
      <c r="E42">
        <v>3</v>
      </c>
      <c r="F42">
        <v>3</v>
      </c>
      <c r="G42">
        <v>2</v>
      </c>
      <c r="H42">
        <v>-1</v>
      </c>
      <c r="I42">
        <v>9</v>
      </c>
      <c r="J42">
        <v>9</v>
      </c>
      <c r="K42">
        <v>0</v>
      </c>
      <c r="L42">
        <v>1</v>
      </c>
      <c r="M42">
        <v>1</v>
      </c>
      <c r="N42">
        <v>0</v>
      </c>
      <c r="O42">
        <v>5</v>
      </c>
      <c r="P42">
        <v>1</v>
      </c>
      <c r="Q42">
        <v>-4</v>
      </c>
      <c r="R42">
        <v>9</v>
      </c>
      <c r="S42">
        <v>1</v>
      </c>
      <c r="T42">
        <v>-8</v>
      </c>
      <c r="U42" s="2">
        <f t="shared" si="0"/>
        <v>-0.33333333333333331</v>
      </c>
      <c r="V42" s="2">
        <f t="shared" si="1"/>
        <v>-3</v>
      </c>
      <c r="W42" s="2">
        <f t="shared" si="2"/>
        <v>6</v>
      </c>
      <c r="X42" s="2">
        <f t="shared" si="3"/>
        <v>5.666666666666667</v>
      </c>
      <c r="Y42" s="2">
        <f t="shared" si="4"/>
        <v>4.333333333333333</v>
      </c>
      <c r="Z42" s="2">
        <f t="shared" si="5"/>
        <v>1.3333333333333333</v>
      </c>
    </row>
    <row r="43" spans="1:26">
      <c r="A43" t="s">
        <v>158</v>
      </c>
      <c r="B43" t="s">
        <v>149</v>
      </c>
      <c r="C43">
        <v>7</v>
      </c>
      <c r="D43">
        <v>6</v>
      </c>
      <c r="E43">
        <v>-1</v>
      </c>
      <c r="F43">
        <v>2</v>
      </c>
      <c r="G43">
        <v>2</v>
      </c>
      <c r="H43">
        <v>0</v>
      </c>
      <c r="I43">
        <v>4</v>
      </c>
      <c r="J43">
        <v>3</v>
      </c>
      <c r="K43">
        <v>-1</v>
      </c>
      <c r="L43">
        <v>3</v>
      </c>
      <c r="M43">
        <v>4</v>
      </c>
      <c r="N43">
        <v>1</v>
      </c>
      <c r="O43">
        <v>6</v>
      </c>
      <c r="P43">
        <v>3</v>
      </c>
      <c r="Q43">
        <v>-3</v>
      </c>
      <c r="R43">
        <v>2</v>
      </c>
      <c r="S43">
        <v>3</v>
      </c>
      <c r="T43">
        <v>1</v>
      </c>
      <c r="U43" s="2">
        <f t="shared" si="0"/>
        <v>-1.6666666666666667</v>
      </c>
      <c r="V43" s="2">
        <f t="shared" si="1"/>
        <v>0.66666666666666663</v>
      </c>
      <c r="W43" s="2">
        <f t="shared" si="2"/>
        <v>5.666666666666667</v>
      </c>
      <c r="X43" s="2">
        <f t="shared" si="3"/>
        <v>4</v>
      </c>
      <c r="Y43" s="2">
        <f t="shared" si="4"/>
        <v>2.3333333333333335</v>
      </c>
      <c r="Z43" s="2">
        <f t="shared" si="5"/>
        <v>3</v>
      </c>
    </row>
    <row r="44" spans="1:26">
      <c r="A44" t="s">
        <v>159</v>
      </c>
      <c r="B44" t="s">
        <v>149</v>
      </c>
      <c r="C44">
        <v>8</v>
      </c>
      <c r="D44">
        <v>6</v>
      </c>
      <c r="E44">
        <v>-2</v>
      </c>
      <c r="F44">
        <v>3</v>
      </c>
      <c r="G44">
        <v>5</v>
      </c>
      <c r="H44">
        <v>2</v>
      </c>
      <c r="I44">
        <v>7</v>
      </c>
      <c r="J44">
        <v>3</v>
      </c>
      <c r="K44">
        <v>-4</v>
      </c>
      <c r="L44">
        <v>4</v>
      </c>
      <c r="M44">
        <v>5</v>
      </c>
      <c r="N44">
        <v>1</v>
      </c>
      <c r="O44">
        <v>7</v>
      </c>
      <c r="P44">
        <v>8</v>
      </c>
      <c r="Q44">
        <v>1</v>
      </c>
      <c r="R44">
        <v>4</v>
      </c>
      <c r="S44">
        <v>3</v>
      </c>
      <c r="T44">
        <v>-1</v>
      </c>
      <c r="U44" s="2">
        <f t="shared" si="0"/>
        <v>-1.6666666666666667</v>
      </c>
      <c r="V44" s="2">
        <f t="shared" si="1"/>
        <v>0.66666666666666663</v>
      </c>
      <c r="W44" s="2">
        <f t="shared" si="2"/>
        <v>7.333333333333333</v>
      </c>
      <c r="X44" s="2">
        <f t="shared" si="3"/>
        <v>5.666666666666667</v>
      </c>
      <c r="Y44" s="2">
        <f t="shared" si="4"/>
        <v>3.6666666666666665</v>
      </c>
      <c r="Z44" s="2">
        <f t="shared" si="5"/>
        <v>4.333333333333333</v>
      </c>
    </row>
    <row r="45" spans="1:26">
      <c r="A45" t="s">
        <v>160</v>
      </c>
      <c r="B45" t="s">
        <v>149</v>
      </c>
      <c r="C45">
        <v>3</v>
      </c>
      <c r="D45">
        <v>4</v>
      </c>
      <c r="E45">
        <v>1</v>
      </c>
      <c r="F45">
        <v>4</v>
      </c>
      <c r="G45">
        <v>4</v>
      </c>
      <c r="H45">
        <v>0</v>
      </c>
      <c r="I45">
        <v>4</v>
      </c>
      <c r="J45">
        <v>5</v>
      </c>
      <c r="K45">
        <v>1</v>
      </c>
      <c r="L45">
        <v>3</v>
      </c>
      <c r="M45">
        <v>5</v>
      </c>
      <c r="N45">
        <v>2</v>
      </c>
      <c r="O45">
        <v>3</v>
      </c>
      <c r="P45">
        <v>5</v>
      </c>
      <c r="Q45">
        <v>2</v>
      </c>
      <c r="R45">
        <v>3</v>
      </c>
      <c r="S45">
        <v>6</v>
      </c>
      <c r="T45">
        <v>3</v>
      </c>
      <c r="U45" s="2">
        <f t="shared" si="0"/>
        <v>1.3333333333333333</v>
      </c>
      <c r="V45" s="2">
        <f t="shared" si="1"/>
        <v>1.6666666666666667</v>
      </c>
      <c r="W45" s="2">
        <f t="shared" si="2"/>
        <v>3.3333333333333335</v>
      </c>
      <c r="X45" s="2">
        <f t="shared" si="3"/>
        <v>4.666666666666667</v>
      </c>
      <c r="Y45" s="2">
        <f t="shared" si="4"/>
        <v>3.3333333333333335</v>
      </c>
      <c r="Z45" s="2">
        <f t="shared" si="5"/>
        <v>5</v>
      </c>
    </row>
    <row r="46" spans="1:26">
      <c r="A46" t="s">
        <v>161</v>
      </c>
      <c r="B46" t="s">
        <v>149</v>
      </c>
      <c r="C46">
        <v>2</v>
      </c>
      <c r="D46">
        <v>4</v>
      </c>
      <c r="E46">
        <v>2</v>
      </c>
      <c r="F46">
        <v>2</v>
      </c>
      <c r="G46">
        <v>4</v>
      </c>
      <c r="H46">
        <v>2</v>
      </c>
      <c r="I46">
        <v>7</v>
      </c>
      <c r="J46">
        <v>6</v>
      </c>
      <c r="K46">
        <v>-1</v>
      </c>
      <c r="L46">
        <v>7</v>
      </c>
      <c r="M46">
        <v>6</v>
      </c>
      <c r="N46">
        <v>-1</v>
      </c>
      <c r="O46">
        <v>4</v>
      </c>
      <c r="P46">
        <v>4</v>
      </c>
      <c r="Q46">
        <v>0</v>
      </c>
      <c r="R46">
        <v>5</v>
      </c>
      <c r="S46">
        <v>6</v>
      </c>
      <c r="T46">
        <v>1</v>
      </c>
      <c r="U46" s="2">
        <f t="shared" si="0"/>
        <v>0.33333333333333331</v>
      </c>
      <c r="V46" s="2">
        <f t="shared" si="1"/>
        <v>0.66666666666666663</v>
      </c>
      <c r="W46" s="2">
        <f t="shared" si="2"/>
        <v>4.333333333333333</v>
      </c>
      <c r="X46" s="2">
        <f t="shared" si="3"/>
        <v>4.666666666666667</v>
      </c>
      <c r="Y46" s="2">
        <f t="shared" si="4"/>
        <v>4.666666666666667</v>
      </c>
      <c r="Z46" s="2">
        <f t="shared" si="5"/>
        <v>5.333333333333333</v>
      </c>
    </row>
    <row r="47" spans="1:26">
      <c r="A47" t="s">
        <v>162</v>
      </c>
      <c r="B47" t="s">
        <v>149</v>
      </c>
      <c r="C47">
        <v>8</v>
      </c>
      <c r="D47">
        <v>8</v>
      </c>
      <c r="E47">
        <v>0</v>
      </c>
      <c r="F47">
        <v>2</v>
      </c>
      <c r="G47">
        <v>7</v>
      </c>
      <c r="H47">
        <v>5</v>
      </c>
      <c r="I47">
        <v>7</v>
      </c>
      <c r="J47">
        <v>8</v>
      </c>
      <c r="K47">
        <v>1</v>
      </c>
      <c r="L47">
        <v>4</v>
      </c>
      <c r="M47">
        <v>4</v>
      </c>
      <c r="N47">
        <v>0</v>
      </c>
      <c r="O47">
        <v>6</v>
      </c>
      <c r="P47">
        <v>6</v>
      </c>
      <c r="Q47">
        <v>0</v>
      </c>
      <c r="R47">
        <v>2</v>
      </c>
      <c r="S47">
        <v>3</v>
      </c>
      <c r="T47">
        <v>1</v>
      </c>
      <c r="U47" s="2">
        <f t="shared" si="0"/>
        <v>0.33333333333333331</v>
      </c>
      <c r="V47" s="2">
        <f t="shared" si="1"/>
        <v>2</v>
      </c>
      <c r="W47" s="2">
        <f t="shared" si="2"/>
        <v>7</v>
      </c>
      <c r="X47" s="2">
        <f t="shared" si="3"/>
        <v>7.333333333333333</v>
      </c>
      <c r="Y47" s="2">
        <f t="shared" si="4"/>
        <v>2.6666666666666665</v>
      </c>
      <c r="Z47" s="2">
        <f t="shared" si="5"/>
        <v>4.666666666666667</v>
      </c>
    </row>
    <row r="48" spans="1:26">
      <c r="A48" t="s">
        <v>163</v>
      </c>
      <c r="B48" t="s">
        <v>149</v>
      </c>
      <c r="C48">
        <v>2</v>
      </c>
      <c r="D48">
        <v>5</v>
      </c>
      <c r="E48">
        <v>3</v>
      </c>
      <c r="F48">
        <v>1</v>
      </c>
      <c r="G48">
        <v>4</v>
      </c>
      <c r="H48">
        <v>3</v>
      </c>
      <c r="I48">
        <v>3</v>
      </c>
      <c r="J48">
        <v>5</v>
      </c>
      <c r="K48">
        <v>2</v>
      </c>
      <c r="L48">
        <v>1</v>
      </c>
      <c r="M48">
        <v>4</v>
      </c>
      <c r="N48">
        <v>3</v>
      </c>
      <c r="O48">
        <v>9</v>
      </c>
      <c r="P48">
        <v>5</v>
      </c>
      <c r="Q48">
        <v>-4</v>
      </c>
      <c r="R48">
        <v>1</v>
      </c>
      <c r="S48">
        <v>1</v>
      </c>
      <c r="T48">
        <v>0</v>
      </c>
      <c r="U48" s="2">
        <f t="shared" si="0"/>
        <v>0.33333333333333331</v>
      </c>
      <c r="V48" s="2">
        <f t="shared" si="1"/>
        <v>2</v>
      </c>
      <c r="W48" s="2">
        <f t="shared" si="2"/>
        <v>4.666666666666667</v>
      </c>
      <c r="X48" s="2">
        <f t="shared" si="3"/>
        <v>5</v>
      </c>
      <c r="Y48" s="2">
        <f t="shared" si="4"/>
        <v>1</v>
      </c>
      <c r="Z48" s="2">
        <f t="shared" si="5"/>
        <v>3</v>
      </c>
    </row>
    <row r="49" spans="1:26">
      <c r="A49" t="s">
        <v>164</v>
      </c>
      <c r="B49" t="s">
        <v>149</v>
      </c>
      <c r="C49">
        <v>1</v>
      </c>
      <c r="D49">
        <v>1</v>
      </c>
      <c r="E49">
        <v>0</v>
      </c>
      <c r="F49">
        <v>4</v>
      </c>
      <c r="G49">
        <v>9</v>
      </c>
      <c r="H49">
        <v>5</v>
      </c>
      <c r="I49">
        <v>3</v>
      </c>
      <c r="J49">
        <v>4</v>
      </c>
      <c r="K49">
        <v>1</v>
      </c>
      <c r="L49">
        <v>5</v>
      </c>
      <c r="M49">
        <v>4</v>
      </c>
      <c r="N49">
        <v>-1</v>
      </c>
      <c r="O49">
        <v>2</v>
      </c>
      <c r="P49">
        <v>3</v>
      </c>
      <c r="Q49">
        <v>1</v>
      </c>
      <c r="R49">
        <v>7</v>
      </c>
      <c r="S49">
        <v>3</v>
      </c>
      <c r="T49">
        <v>-4</v>
      </c>
      <c r="U49" s="2">
        <f t="shared" si="0"/>
        <v>0.66666666666666663</v>
      </c>
      <c r="V49" s="2">
        <f t="shared" si="1"/>
        <v>0</v>
      </c>
      <c r="W49" s="2">
        <f t="shared" si="2"/>
        <v>2</v>
      </c>
      <c r="X49" s="2">
        <f t="shared" si="3"/>
        <v>2.6666666666666665</v>
      </c>
      <c r="Y49" s="2">
        <f t="shared" si="4"/>
        <v>5.333333333333333</v>
      </c>
      <c r="Z49" s="2">
        <f t="shared" si="5"/>
        <v>5.333333333333333</v>
      </c>
    </row>
    <row r="50" spans="1:26">
      <c r="A50" t="s">
        <v>165</v>
      </c>
      <c r="B50" t="s">
        <v>149</v>
      </c>
      <c r="C50">
        <v>6</v>
      </c>
      <c r="D50">
        <v>6</v>
      </c>
      <c r="E50">
        <v>0</v>
      </c>
      <c r="F50">
        <v>3</v>
      </c>
      <c r="G50">
        <v>6</v>
      </c>
      <c r="H50">
        <v>3</v>
      </c>
      <c r="I50">
        <v>3</v>
      </c>
      <c r="J50">
        <v>6</v>
      </c>
      <c r="K50">
        <v>3</v>
      </c>
      <c r="L50">
        <v>3</v>
      </c>
      <c r="M50">
        <v>2</v>
      </c>
      <c r="N50">
        <v>-1</v>
      </c>
      <c r="O50">
        <v>6</v>
      </c>
      <c r="P50">
        <v>5</v>
      </c>
      <c r="Q50">
        <v>-1</v>
      </c>
      <c r="R50">
        <v>2</v>
      </c>
      <c r="S50">
        <v>5</v>
      </c>
      <c r="T50">
        <v>3</v>
      </c>
      <c r="U50" s="2">
        <f t="shared" si="0"/>
        <v>0.66666666666666663</v>
      </c>
      <c r="V50" s="2">
        <f t="shared" si="1"/>
        <v>1.6666666666666667</v>
      </c>
      <c r="W50" s="2">
        <f t="shared" si="2"/>
        <v>5</v>
      </c>
      <c r="X50" s="2">
        <f t="shared" si="3"/>
        <v>5.666666666666667</v>
      </c>
      <c r="Y50" s="2">
        <f t="shared" si="4"/>
        <v>2.6666666666666665</v>
      </c>
      <c r="Z50" s="2">
        <f t="shared" si="5"/>
        <v>4.333333333333333</v>
      </c>
    </row>
    <row r="51" spans="1:26">
      <c r="A51" t="s">
        <v>166</v>
      </c>
      <c r="B51" t="s">
        <v>149</v>
      </c>
      <c r="C51">
        <v>6</v>
      </c>
      <c r="D51">
        <v>5</v>
      </c>
      <c r="E51">
        <v>-1</v>
      </c>
      <c r="F51">
        <v>4</v>
      </c>
      <c r="G51">
        <v>6</v>
      </c>
      <c r="H51">
        <v>2</v>
      </c>
      <c r="I51">
        <v>4</v>
      </c>
      <c r="J51">
        <v>4</v>
      </c>
      <c r="K51">
        <v>0</v>
      </c>
      <c r="L51">
        <v>5</v>
      </c>
      <c r="M51">
        <v>6</v>
      </c>
      <c r="N51">
        <v>1</v>
      </c>
      <c r="O51">
        <v>4</v>
      </c>
      <c r="P51">
        <v>5</v>
      </c>
      <c r="Q51">
        <v>1</v>
      </c>
      <c r="R51">
        <v>5</v>
      </c>
      <c r="S51">
        <v>6</v>
      </c>
      <c r="T51">
        <v>1</v>
      </c>
      <c r="U51" s="2">
        <f t="shared" si="0"/>
        <v>0</v>
      </c>
      <c r="V51" s="2">
        <f t="shared" si="1"/>
        <v>1.3333333333333333</v>
      </c>
      <c r="W51" s="2">
        <f t="shared" si="2"/>
        <v>4.666666666666667</v>
      </c>
      <c r="X51" s="2">
        <f t="shared" si="3"/>
        <v>4.666666666666667</v>
      </c>
      <c r="Y51" s="2">
        <f t="shared" si="4"/>
        <v>4.666666666666667</v>
      </c>
      <c r="Z51" s="2">
        <f t="shared" si="5"/>
        <v>6</v>
      </c>
    </row>
    <row r="52" spans="1:26">
      <c r="A52" t="s">
        <v>167</v>
      </c>
      <c r="B52" t="s">
        <v>149</v>
      </c>
      <c r="C52">
        <v>5</v>
      </c>
      <c r="D52">
        <v>6</v>
      </c>
      <c r="E52">
        <v>1</v>
      </c>
      <c r="F52">
        <v>4</v>
      </c>
      <c r="G52">
        <v>7</v>
      </c>
      <c r="H52">
        <v>3</v>
      </c>
      <c r="I52">
        <v>7</v>
      </c>
      <c r="J52">
        <v>7</v>
      </c>
      <c r="K52">
        <v>0</v>
      </c>
      <c r="L52">
        <v>7</v>
      </c>
      <c r="M52">
        <v>4</v>
      </c>
      <c r="N52">
        <v>-3</v>
      </c>
      <c r="O52">
        <v>2</v>
      </c>
      <c r="P52">
        <v>4</v>
      </c>
      <c r="Q52">
        <v>2</v>
      </c>
      <c r="R52">
        <v>3</v>
      </c>
      <c r="S52">
        <v>4</v>
      </c>
      <c r="T52">
        <v>1</v>
      </c>
      <c r="U52" s="2">
        <f t="shared" si="0"/>
        <v>1</v>
      </c>
      <c r="V52" s="2">
        <f t="shared" si="1"/>
        <v>0.33333333333333331</v>
      </c>
      <c r="W52" s="2">
        <f t="shared" si="2"/>
        <v>4.666666666666667</v>
      </c>
      <c r="X52" s="2">
        <f t="shared" si="3"/>
        <v>5.666666666666667</v>
      </c>
      <c r="Y52" s="2">
        <f t="shared" si="4"/>
        <v>4.666666666666667</v>
      </c>
      <c r="Z52" s="2">
        <f t="shared" si="5"/>
        <v>5</v>
      </c>
    </row>
    <row r="53" spans="1:26">
      <c r="A53" t="s">
        <v>168</v>
      </c>
      <c r="B53" t="s">
        <v>149</v>
      </c>
      <c r="C53">
        <v>5</v>
      </c>
      <c r="D53">
        <v>5</v>
      </c>
      <c r="E53">
        <v>0</v>
      </c>
      <c r="F53">
        <v>4</v>
      </c>
      <c r="G53">
        <v>1</v>
      </c>
      <c r="H53">
        <v>-3</v>
      </c>
      <c r="I53">
        <v>5</v>
      </c>
      <c r="J53">
        <v>5</v>
      </c>
      <c r="K53">
        <v>0</v>
      </c>
      <c r="L53">
        <v>3</v>
      </c>
      <c r="M53">
        <v>2</v>
      </c>
      <c r="N53">
        <v>-1</v>
      </c>
      <c r="O53">
        <v>9</v>
      </c>
      <c r="P53">
        <v>5</v>
      </c>
      <c r="Q53">
        <v>-4</v>
      </c>
      <c r="R53">
        <v>9</v>
      </c>
      <c r="S53">
        <v>6</v>
      </c>
      <c r="T53">
        <v>-3</v>
      </c>
      <c r="U53" s="2">
        <f t="shared" si="0"/>
        <v>-1.3333333333333333</v>
      </c>
      <c r="V53" s="2">
        <f t="shared" si="1"/>
        <v>-2.3333333333333335</v>
      </c>
      <c r="W53" s="2">
        <f t="shared" si="2"/>
        <v>6.333333333333333</v>
      </c>
      <c r="X53" s="2">
        <f t="shared" si="3"/>
        <v>5</v>
      </c>
      <c r="Y53" s="2">
        <f t="shared" si="4"/>
        <v>5.333333333333333</v>
      </c>
      <c r="Z53" s="2">
        <f t="shared" si="5"/>
        <v>3</v>
      </c>
    </row>
    <row r="54" spans="1:26">
      <c r="A54" t="s">
        <v>169</v>
      </c>
      <c r="B54" t="s">
        <v>149</v>
      </c>
      <c r="C54">
        <v>2</v>
      </c>
      <c r="D54">
        <v>3</v>
      </c>
      <c r="E54">
        <v>1</v>
      </c>
      <c r="F54">
        <v>2</v>
      </c>
      <c r="G54">
        <v>6</v>
      </c>
      <c r="H54">
        <v>4</v>
      </c>
      <c r="I54">
        <v>6</v>
      </c>
      <c r="J54">
        <v>4</v>
      </c>
      <c r="K54">
        <v>-2</v>
      </c>
      <c r="L54">
        <v>6</v>
      </c>
      <c r="M54">
        <v>3</v>
      </c>
      <c r="N54">
        <v>-3</v>
      </c>
      <c r="O54">
        <v>7</v>
      </c>
      <c r="P54">
        <v>5</v>
      </c>
      <c r="Q54">
        <v>-2</v>
      </c>
      <c r="R54">
        <v>2</v>
      </c>
      <c r="S54">
        <v>4</v>
      </c>
      <c r="T54">
        <v>2</v>
      </c>
      <c r="U54" s="2">
        <f t="shared" si="0"/>
        <v>-1</v>
      </c>
      <c r="V54" s="2">
        <f t="shared" si="1"/>
        <v>1</v>
      </c>
      <c r="W54" s="2">
        <f t="shared" si="2"/>
        <v>5</v>
      </c>
      <c r="X54" s="2">
        <f t="shared" si="3"/>
        <v>4</v>
      </c>
      <c r="Y54" s="2">
        <f t="shared" si="4"/>
        <v>3.3333333333333335</v>
      </c>
      <c r="Z54" s="2">
        <f t="shared" si="5"/>
        <v>4.333333333333333</v>
      </c>
    </row>
    <row r="55" spans="1:26">
      <c r="A55" t="s">
        <v>170</v>
      </c>
      <c r="B55" t="s">
        <v>149</v>
      </c>
      <c r="C55">
        <v>6</v>
      </c>
      <c r="D55">
        <v>2</v>
      </c>
      <c r="E55">
        <v>-4</v>
      </c>
      <c r="F55">
        <v>2</v>
      </c>
      <c r="G55">
        <v>8</v>
      </c>
      <c r="H55">
        <v>6</v>
      </c>
      <c r="I55">
        <v>5</v>
      </c>
      <c r="J55">
        <v>2</v>
      </c>
      <c r="K55">
        <v>-3</v>
      </c>
      <c r="L55">
        <v>1</v>
      </c>
      <c r="M55">
        <v>5</v>
      </c>
      <c r="N55">
        <v>4</v>
      </c>
      <c r="O55">
        <v>5</v>
      </c>
      <c r="P55">
        <v>1</v>
      </c>
      <c r="Q55">
        <v>-4</v>
      </c>
      <c r="R55">
        <v>9</v>
      </c>
      <c r="S55">
        <v>3</v>
      </c>
      <c r="T55">
        <v>-6</v>
      </c>
      <c r="U55" s="2">
        <f t="shared" si="0"/>
        <v>-3.6666666666666665</v>
      </c>
      <c r="V55" s="2">
        <f t="shared" si="1"/>
        <v>1.3333333333333333</v>
      </c>
      <c r="W55" s="2">
        <f t="shared" si="2"/>
        <v>5.333333333333333</v>
      </c>
      <c r="X55" s="2">
        <f t="shared" si="3"/>
        <v>1.6666666666666667</v>
      </c>
      <c r="Y55" s="2">
        <f t="shared" si="4"/>
        <v>4</v>
      </c>
      <c r="Z55" s="2">
        <f t="shared" si="5"/>
        <v>5.333333333333333</v>
      </c>
    </row>
    <row r="56" spans="1:26">
      <c r="A56" t="s">
        <v>171</v>
      </c>
      <c r="B56" t="s">
        <v>149</v>
      </c>
      <c r="C56">
        <v>1</v>
      </c>
      <c r="D56">
        <v>1</v>
      </c>
      <c r="E56">
        <v>0</v>
      </c>
      <c r="F56">
        <v>1</v>
      </c>
      <c r="G56">
        <v>5</v>
      </c>
      <c r="H56">
        <v>4</v>
      </c>
      <c r="I56">
        <v>1</v>
      </c>
      <c r="J56">
        <v>4</v>
      </c>
      <c r="K56">
        <v>3</v>
      </c>
      <c r="L56">
        <v>1</v>
      </c>
      <c r="M56">
        <v>1</v>
      </c>
      <c r="N56">
        <v>0</v>
      </c>
      <c r="O56">
        <v>1</v>
      </c>
      <c r="P56">
        <v>5</v>
      </c>
      <c r="Q56">
        <v>4</v>
      </c>
      <c r="R56">
        <v>2</v>
      </c>
      <c r="S56">
        <v>4</v>
      </c>
      <c r="T56">
        <v>2</v>
      </c>
      <c r="U56" s="2">
        <f t="shared" si="0"/>
        <v>2.3333333333333335</v>
      </c>
      <c r="V56" s="2">
        <f t="shared" si="1"/>
        <v>2</v>
      </c>
      <c r="W56" s="2">
        <f t="shared" si="2"/>
        <v>1</v>
      </c>
      <c r="X56" s="2">
        <f t="shared" si="3"/>
        <v>3.3333333333333335</v>
      </c>
      <c r="Y56" s="2">
        <f t="shared" si="4"/>
        <v>1.3333333333333333</v>
      </c>
      <c r="Z56" s="2">
        <f t="shared" si="5"/>
        <v>3.3333333333333335</v>
      </c>
    </row>
    <row r="57" spans="1:26">
      <c r="A57" t="s">
        <v>172</v>
      </c>
      <c r="B57" t="s">
        <v>149</v>
      </c>
      <c r="C57">
        <v>7</v>
      </c>
      <c r="D57">
        <v>7</v>
      </c>
      <c r="E57">
        <v>0</v>
      </c>
      <c r="F57">
        <v>7</v>
      </c>
      <c r="G57">
        <v>7</v>
      </c>
      <c r="H57">
        <v>0</v>
      </c>
      <c r="I57">
        <v>8</v>
      </c>
      <c r="J57">
        <v>9</v>
      </c>
      <c r="K57">
        <v>1</v>
      </c>
      <c r="L57">
        <v>7</v>
      </c>
      <c r="M57">
        <v>6</v>
      </c>
      <c r="N57">
        <v>-1</v>
      </c>
      <c r="O57">
        <v>9</v>
      </c>
      <c r="P57">
        <v>9</v>
      </c>
      <c r="Q57">
        <v>0</v>
      </c>
      <c r="R57">
        <v>7</v>
      </c>
      <c r="S57">
        <v>4</v>
      </c>
      <c r="T57">
        <v>-3</v>
      </c>
      <c r="U57" s="2">
        <f t="shared" si="0"/>
        <v>0.33333333333333331</v>
      </c>
      <c r="V57" s="2">
        <f t="shared" si="1"/>
        <v>-1.3333333333333333</v>
      </c>
      <c r="W57" s="2">
        <f t="shared" si="2"/>
        <v>8</v>
      </c>
      <c r="X57" s="2">
        <f t="shared" si="3"/>
        <v>8.3333333333333339</v>
      </c>
      <c r="Y57" s="2">
        <f t="shared" si="4"/>
        <v>7</v>
      </c>
      <c r="Z57" s="2">
        <f t="shared" si="5"/>
        <v>5.666666666666667</v>
      </c>
    </row>
    <row r="58" spans="1:26">
      <c r="A58" t="s">
        <v>173</v>
      </c>
      <c r="B58" t="s">
        <v>174</v>
      </c>
      <c r="C58">
        <v>6</v>
      </c>
      <c r="D58">
        <v>4</v>
      </c>
      <c r="E58">
        <v>-2</v>
      </c>
      <c r="F58">
        <v>3</v>
      </c>
      <c r="G58">
        <v>5</v>
      </c>
      <c r="H58">
        <v>2</v>
      </c>
      <c r="I58">
        <v>8</v>
      </c>
      <c r="J58">
        <v>9</v>
      </c>
      <c r="K58">
        <v>1</v>
      </c>
      <c r="L58">
        <v>2</v>
      </c>
      <c r="M58">
        <v>2</v>
      </c>
      <c r="N58">
        <v>0</v>
      </c>
      <c r="O58">
        <v>6</v>
      </c>
      <c r="P58">
        <v>4</v>
      </c>
      <c r="Q58">
        <v>-2</v>
      </c>
      <c r="R58">
        <v>2</v>
      </c>
      <c r="S58">
        <v>4</v>
      </c>
      <c r="T58">
        <v>2</v>
      </c>
      <c r="U58" s="2">
        <f t="shared" si="0"/>
        <v>-1</v>
      </c>
      <c r="V58" s="2">
        <f t="shared" si="1"/>
        <v>1.3333333333333333</v>
      </c>
      <c r="W58" s="2">
        <f t="shared" si="2"/>
        <v>6.666666666666667</v>
      </c>
      <c r="X58" s="2">
        <f t="shared" si="3"/>
        <v>5.666666666666667</v>
      </c>
      <c r="Y58" s="2">
        <f t="shared" si="4"/>
        <v>2.3333333333333335</v>
      </c>
      <c r="Z58" s="2">
        <f t="shared" si="5"/>
        <v>3.6666666666666665</v>
      </c>
    </row>
    <row r="59" spans="1:26">
      <c r="A59" t="s">
        <v>175</v>
      </c>
      <c r="B59" t="s">
        <v>174</v>
      </c>
      <c r="C59">
        <v>7</v>
      </c>
      <c r="D59">
        <v>7</v>
      </c>
      <c r="E59">
        <v>0</v>
      </c>
      <c r="F59">
        <v>7</v>
      </c>
      <c r="G59">
        <v>6</v>
      </c>
      <c r="H59">
        <v>-1</v>
      </c>
      <c r="I59">
        <v>6</v>
      </c>
      <c r="J59">
        <v>6</v>
      </c>
      <c r="K59">
        <v>0</v>
      </c>
      <c r="L59">
        <v>6</v>
      </c>
      <c r="M59">
        <v>4</v>
      </c>
      <c r="N59">
        <v>-2</v>
      </c>
      <c r="O59">
        <v>3</v>
      </c>
      <c r="P59">
        <v>4</v>
      </c>
      <c r="Q59">
        <v>1</v>
      </c>
      <c r="R59">
        <v>7</v>
      </c>
      <c r="S59">
        <v>5</v>
      </c>
      <c r="T59">
        <v>-2</v>
      </c>
      <c r="U59" s="2">
        <f t="shared" si="0"/>
        <v>0.33333333333333331</v>
      </c>
      <c r="V59" s="2">
        <f t="shared" si="1"/>
        <v>-1.6666666666666667</v>
      </c>
      <c r="W59" s="2">
        <f t="shared" si="2"/>
        <v>5.333333333333333</v>
      </c>
      <c r="X59" s="2">
        <f t="shared" si="3"/>
        <v>5.666666666666667</v>
      </c>
      <c r="Y59" s="2">
        <f t="shared" si="4"/>
        <v>6.666666666666667</v>
      </c>
      <c r="Z59" s="2">
        <f t="shared" si="5"/>
        <v>5</v>
      </c>
    </row>
    <row r="60" spans="1:26">
      <c r="A60" t="s">
        <v>176</v>
      </c>
      <c r="B60" t="s">
        <v>174</v>
      </c>
      <c r="C60">
        <v>6</v>
      </c>
      <c r="D60">
        <v>4</v>
      </c>
      <c r="E60">
        <v>-2</v>
      </c>
      <c r="F60">
        <v>3</v>
      </c>
      <c r="G60">
        <v>5</v>
      </c>
      <c r="H60">
        <v>2</v>
      </c>
      <c r="I60">
        <v>7</v>
      </c>
      <c r="J60">
        <v>7</v>
      </c>
      <c r="K60">
        <v>0</v>
      </c>
      <c r="L60">
        <v>4</v>
      </c>
      <c r="M60">
        <v>5</v>
      </c>
      <c r="N60">
        <v>1</v>
      </c>
      <c r="O60">
        <v>8</v>
      </c>
      <c r="P60">
        <v>3</v>
      </c>
      <c r="Q60">
        <v>-5</v>
      </c>
      <c r="R60">
        <v>5</v>
      </c>
      <c r="S60">
        <v>6</v>
      </c>
      <c r="T60">
        <v>1</v>
      </c>
      <c r="U60" s="2">
        <f t="shared" si="0"/>
        <v>-2.3333333333333335</v>
      </c>
      <c r="V60" s="2">
        <f t="shared" si="1"/>
        <v>1.3333333333333333</v>
      </c>
      <c r="W60" s="2">
        <f t="shared" si="2"/>
        <v>7</v>
      </c>
      <c r="X60" s="2">
        <f t="shared" si="3"/>
        <v>4.666666666666667</v>
      </c>
      <c r="Y60" s="2">
        <f t="shared" si="4"/>
        <v>4</v>
      </c>
      <c r="Z60" s="2">
        <f t="shared" si="5"/>
        <v>5.333333333333333</v>
      </c>
    </row>
    <row r="61" spans="1:26">
      <c r="A61" t="s">
        <v>177</v>
      </c>
      <c r="B61" t="s">
        <v>174</v>
      </c>
      <c r="C61">
        <v>6</v>
      </c>
      <c r="D61">
        <v>5</v>
      </c>
      <c r="E61">
        <v>-1</v>
      </c>
      <c r="F61">
        <v>6</v>
      </c>
      <c r="G61">
        <v>8</v>
      </c>
      <c r="H61">
        <v>2</v>
      </c>
      <c r="I61">
        <v>1</v>
      </c>
      <c r="J61">
        <v>3</v>
      </c>
      <c r="K61">
        <v>2</v>
      </c>
      <c r="L61">
        <v>3</v>
      </c>
      <c r="M61">
        <v>7</v>
      </c>
      <c r="N61">
        <v>4</v>
      </c>
      <c r="O61">
        <v>6</v>
      </c>
      <c r="P61">
        <v>4</v>
      </c>
      <c r="Q61">
        <v>-2</v>
      </c>
      <c r="R61">
        <v>3</v>
      </c>
      <c r="S61">
        <v>6</v>
      </c>
      <c r="T61">
        <v>3</v>
      </c>
      <c r="U61" s="2">
        <f t="shared" si="0"/>
        <v>-0.33333333333333331</v>
      </c>
      <c r="V61" s="2">
        <f t="shared" si="1"/>
        <v>3</v>
      </c>
      <c r="W61" s="2">
        <f t="shared" si="2"/>
        <v>4.333333333333333</v>
      </c>
      <c r="X61" s="2">
        <f t="shared" si="3"/>
        <v>4</v>
      </c>
      <c r="Y61" s="2">
        <f t="shared" si="4"/>
        <v>4</v>
      </c>
      <c r="Z61" s="2">
        <f t="shared" si="5"/>
        <v>7</v>
      </c>
    </row>
    <row r="62" spans="1:26">
      <c r="A62" s="1" t="s">
        <v>178</v>
      </c>
      <c r="B62" t="s">
        <v>174</v>
      </c>
      <c r="C62">
        <v>7</v>
      </c>
      <c r="D62">
        <v>6</v>
      </c>
      <c r="E62">
        <v>-1</v>
      </c>
      <c r="F62">
        <v>8</v>
      </c>
      <c r="G62">
        <v>7</v>
      </c>
      <c r="H62">
        <v>-1</v>
      </c>
      <c r="I62">
        <v>2</v>
      </c>
      <c r="J62">
        <v>2</v>
      </c>
      <c r="K62">
        <v>0</v>
      </c>
      <c r="L62">
        <v>1</v>
      </c>
      <c r="M62">
        <v>2</v>
      </c>
      <c r="N62">
        <v>1</v>
      </c>
      <c r="O62">
        <v>8</v>
      </c>
      <c r="P62">
        <v>6</v>
      </c>
      <c r="Q62">
        <v>-2</v>
      </c>
      <c r="R62">
        <v>7</v>
      </c>
      <c r="S62">
        <v>3</v>
      </c>
      <c r="T62">
        <v>-4</v>
      </c>
      <c r="U62" s="2">
        <f t="shared" si="0"/>
        <v>-1</v>
      </c>
      <c r="V62" s="2">
        <f t="shared" si="1"/>
        <v>-1.3333333333333333</v>
      </c>
      <c r="W62" s="2">
        <f t="shared" si="2"/>
        <v>5.666666666666667</v>
      </c>
      <c r="X62" s="2">
        <f t="shared" si="3"/>
        <v>4.666666666666667</v>
      </c>
      <c r="Y62" s="2">
        <f t="shared" si="4"/>
        <v>5.333333333333333</v>
      </c>
      <c r="Z62" s="2">
        <f t="shared" si="5"/>
        <v>4</v>
      </c>
    </row>
    <row r="63" spans="1:26">
      <c r="A63" t="s">
        <v>179</v>
      </c>
      <c r="B63" t="s">
        <v>174</v>
      </c>
      <c r="C63">
        <v>6</v>
      </c>
      <c r="D63">
        <v>4</v>
      </c>
      <c r="E63">
        <v>-2</v>
      </c>
      <c r="F63">
        <v>6</v>
      </c>
      <c r="G63">
        <v>5</v>
      </c>
      <c r="H63">
        <v>-1</v>
      </c>
      <c r="I63">
        <v>6</v>
      </c>
      <c r="J63">
        <v>4</v>
      </c>
      <c r="K63">
        <v>-2</v>
      </c>
      <c r="L63">
        <v>6</v>
      </c>
      <c r="M63">
        <v>5</v>
      </c>
      <c r="N63">
        <v>-1</v>
      </c>
      <c r="O63">
        <v>3</v>
      </c>
      <c r="P63">
        <v>3</v>
      </c>
      <c r="Q63">
        <v>0</v>
      </c>
      <c r="R63">
        <v>6</v>
      </c>
      <c r="S63">
        <v>7</v>
      </c>
      <c r="T63">
        <v>1</v>
      </c>
      <c r="U63" s="2">
        <f t="shared" si="0"/>
        <v>-1.3333333333333333</v>
      </c>
      <c r="V63" s="2">
        <f t="shared" si="1"/>
        <v>-0.33333333333333331</v>
      </c>
      <c r="W63" s="2">
        <f t="shared" si="2"/>
        <v>5</v>
      </c>
      <c r="X63" s="2">
        <f t="shared" si="3"/>
        <v>3.6666666666666665</v>
      </c>
      <c r="Y63" s="2">
        <f t="shared" si="4"/>
        <v>6</v>
      </c>
      <c r="Z63" s="2">
        <f t="shared" si="5"/>
        <v>5.666666666666667</v>
      </c>
    </row>
    <row r="64" spans="1:26">
      <c r="A64" t="s">
        <v>180</v>
      </c>
      <c r="B64" t="s">
        <v>174</v>
      </c>
      <c r="C64">
        <v>7</v>
      </c>
      <c r="D64">
        <v>8</v>
      </c>
      <c r="E64">
        <v>1</v>
      </c>
      <c r="F64">
        <v>2</v>
      </c>
      <c r="G64">
        <v>1</v>
      </c>
      <c r="H64">
        <v>-1</v>
      </c>
      <c r="I64">
        <v>6</v>
      </c>
      <c r="J64">
        <v>5</v>
      </c>
      <c r="K64">
        <v>-1</v>
      </c>
      <c r="L64">
        <v>2</v>
      </c>
      <c r="M64">
        <v>7</v>
      </c>
      <c r="N64">
        <v>5</v>
      </c>
      <c r="O64">
        <v>6</v>
      </c>
      <c r="P64">
        <v>5</v>
      </c>
      <c r="Q64">
        <v>-1</v>
      </c>
      <c r="R64">
        <v>1</v>
      </c>
      <c r="S64">
        <v>1</v>
      </c>
      <c r="T64">
        <v>0</v>
      </c>
      <c r="U64" s="2">
        <f t="shared" si="0"/>
        <v>-0.33333333333333331</v>
      </c>
      <c r="V64" s="2">
        <f t="shared" si="1"/>
        <v>1.3333333333333333</v>
      </c>
      <c r="W64" s="2">
        <f t="shared" si="2"/>
        <v>6.333333333333333</v>
      </c>
      <c r="X64" s="2">
        <f t="shared" si="3"/>
        <v>6</v>
      </c>
      <c r="Y64" s="2">
        <f t="shared" si="4"/>
        <v>1.6666666666666667</v>
      </c>
      <c r="Z64" s="2">
        <f t="shared" si="5"/>
        <v>3</v>
      </c>
    </row>
    <row r="65" spans="1:26">
      <c r="A65" t="s">
        <v>181</v>
      </c>
      <c r="B65" t="s">
        <v>174</v>
      </c>
      <c r="C65">
        <v>7</v>
      </c>
      <c r="D65">
        <v>7</v>
      </c>
      <c r="E65">
        <v>0</v>
      </c>
      <c r="F65">
        <v>3</v>
      </c>
      <c r="G65">
        <v>1</v>
      </c>
      <c r="H65">
        <v>-2</v>
      </c>
      <c r="I65">
        <v>7</v>
      </c>
      <c r="J65">
        <v>8</v>
      </c>
      <c r="K65">
        <v>1</v>
      </c>
      <c r="L65">
        <v>1</v>
      </c>
      <c r="M65">
        <v>1</v>
      </c>
      <c r="N65">
        <v>0</v>
      </c>
      <c r="O65">
        <v>4</v>
      </c>
      <c r="P65">
        <v>5</v>
      </c>
      <c r="Q65">
        <v>1</v>
      </c>
      <c r="R65">
        <v>4</v>
      </c>
      <c r="S65">
        <v>5</v>
      </c>
      <c r="T65">
        <v>1</v>
      </c>
      <c r="U65" s="2">
        <f t="shared" si="0"/>
        <v>0.66666666666666663</v>
      </c>
      <c r="V65" s="2">
        <f t="shared" si="1"/>
        <v>-0.33333333333333331</v>
      </c>
      <c r="W65" s="2">
        <f t="shared" si="2"/>
        <v>6</v>
      </c>
      <c r="X65" s="2">
        <f t="shared" si="3"/>
        <v>6.666666666666667</v>
      </c>
      <c r="Y65" s="2">
        <f t="shared" si="4"/>
        <v>2.6666666666666665</v>
      </c>
      <c r="Z65" s="2">
        <f t="shared" si="5"/>
        <v>2.3333333333333335</v>
      </c>
    </row>
    <row r="66" spans="1:26">
      <c r="A66" t="s">
        <v>182</v>
      </c>
      <c r="B66" t="s">
        <v>174</v>
      </c>
      <c r="C66">
        <v>8</v>
      </c>
      <c r="D66">
        <v>8</v>
      </c>
      <c r="E66">
        <v>0</v>
      </c>
      <c r="F66">
        <v>7</v>
      </c>
      <c r="G66">
        <v>7</v>
      </c>
      <c r="H66">
        <v>0</v>
      </c>
      <c r="I66">
        <v>5</v>
      </c>
      <c r="J66">
        <v>5</v>
      </c>
      <c r="K66">
        <v>0</v>
      </c>
      <c r="L66">
        <v>9</v>
      </c>
      <c r="M66">
        <v>8</v>
      </c>
      <c r="N66">
        <v>-1</v>
      </c>
      <c r="O66">
        <v>8</v>
      </c>
      <c r="P66">
        <v>8</v>
      </c>
      <c r="Q66">
        <v>0</v>
      </c>
      <c r="R66">
        <v>8</v>
      </c>
      <c r="S66">
        <v>8</v>
      </c>
      <c r="T66">
        <v>0</v>
      </c>
      <c r="U66" s="2">
        <f t="shared" si="0"/>
        <v>0</v>
      </c>
      <c r="V66" s="2">
        <f t="shared" si="1"/>
        <v>-0.33333333333333331</v>
      </c>
      <c r="W66" s="2">
        <f t="shared" si="2"/>
        <v>7</v>
      </c>
      <c r="X66" s="2">
        <f t="shared" si="3"/>
        <v>7</v>
      </c>
      <c r="Y66" s="2">
        <f t="shared" si="4"/>
        <v>8</v>
      </c>
      <c r="Z66" s="2">
        <f t="shared" si="5"/>
        <v>7.666666666666667</v>
      </c>
    </row>
    <row r="67" spans="1:26">
      <c r="A67" t="s">
        <v>183</v>
      </c>
      <c r="B67" t="s">
        <v>174</v>
      </c>
      <c r="C67">
        <v>7</v>
      </c>
      <c r="D67">
        <v>6</v>
      </c>
      <c r="E67">
        <v>-1</v>
      </c>
      <c r="F67">
        <v>7</v>
      </c>
      <c r="G67">
        <v>5</v>
      </c>
      <c r="H67">
        <v>-2</v>
      </c>
      <c r="I67">
        <v>6</v>
      </c>
      <c r="J67">
        <v>7</v>
      </c>
      <c r="K67">
        <v>1</v>
      </c>
      <c r="L67">
        <v>7</v>
      </c>
      <c r="M67">
        <v>5</v>
      </c>
      <c r="N67">
        <v>-2</v>
      </c>
      <c r="O67">
        <v>7</v>
      </c>
      <c r="P67">
        <v>7</v>
      </c>
      <c r="Q67">
        <v>0</v>
      </c>
      <c r="R67">
        <v>7</v>
      </c>
      <c r="S67">
        <v>8</v>
      </c>
      <c r="T67">
        <v>1</v>
      </c>
      <c r="U67" s="2">
        <f t="shared" ref="U67:U87" si="6">((D67-C67)+(J67-I67)+(P67-O67))/3</f>
        <v>0</v>
      </c>
      <c r="V67" s="2">
        <f t="shared" ref="V67:V87" si="7">((G67-F67)+(M67-L67)+(S67-R67))/3</f>
        <v>-1</v>
      </c>
      <c r="W67" s="2">
        <f t="shared" ref="W67:W87" si="8">(C67+I67+O67)/3</f>
        <v>6.666666666666667</v>
      </c>
      <c r="X67" s="2">
        <f t="shared" ref="X67:X87" si="9">(D67+J67+P67)/3</f>
        <v>6.666666666666667</v>
      </c>
      <c r="Y67" s="2">
        <f t="shared" ref="Y67:Y87" si="10">(F67+L67+R67)/3</f>
        <v>7</v>
      </c>
      <c r="Z67" s="2">
        <f t="shared" ref="Z67:Z87" si="11">(G67+M67+S67)/3</f>
        <v>6</v>
      </c>
    </row>
    <row r="68" spans="1:26">
      <c r="A68" t="s">
        <v>184</v>
      </c>
      <c r="B68" t="s">
        <v>174</v>
      </c>
      <c r="C68">
        <v>2</v>
      </c>
      <c r="D68">
        <v>3</v>
      </c>
      <c r="E68">
        <v>1</v>
      </c>
      <c r="F68">
        <v>2</v>
      </c>
      <c r="G68">
        <v>4</v>
      </c>
      <c r="H68">
        <v>2</v>
      </c>
      <c r="I68">
        <v>2</v>
      </c>
      <c r="J68">
        <v>6</v>
      </c>
      <c r="K68">
        <v>4</v>
      </c>
      <c r="L68">
        <v>3</v>
      </c>
      <c r="M68">
        <v>5</v>
      </c>
      <c r="N68">
        <v>2</v>
      </c>
      <c r="O68">
        <v>5</v>
      </c>
      <c r="P68">
        <v>6</v>
      </c>
      <c r="Q68">
        <v>1</v>
      </c>
      <c r="R68">
        <v>5</v>
      </c>
      <c r="S68">
        <v>6</v>
      </c>
      <c r="T68">
        <v>1</v>
      </c>
      <c r="U68" s="2">
        <f t="shared" si="6"/>
        <v>2</v>
      </c>
      <c r="V68" s="2">
        <f t="shared" si="7"/>
        <v>1.6666666666666667</v>
      </c>
      <c r="W68" s="2">
        <f t="shared" si="8"/>
        <v>3</v>
      </c>
      <c r="X68" s="2">
        <f t="shared" si="9"/>
        <v>5</v>
      </c>
      <c r="Y68" s="2">
        <f t="shared" si="10"/>
        <v>3.3333333333333335</v>
      </c>
      <c r="Z68" s="2">
        <f t="shared" si="11"/>
        <v>5</v>
      </c>
    </row>
    <row r="69" spans="1:26">
      <c r="A69" t="s">
        <v>185</v>
      </c>
      <c r="B69" t="s">
        <v>174</v>
      </c>
      <c r="C69">
        <v>3</v>
      </c>
      <c r="D69">
        <v>5</v>
      </c>
      <c r="E69">
        <v>2</v>
      </c>
      <c r="F69">
        <v>3</v>
      </c>
      <c r="G69">
        <v>5</v>
      </c>
      <c r="H69">
        <v>2</v>
      </c>
      <c r="I69">
        <v>2</v>
      </c>
      <c r="J69">
        <v>2</v>
      </c>
      <c r="K69">
        <v>0</v>
      </c>
      <c r="L69">
        <v>3</v>
      </c>
      <c r="M69">
        <v>4</v>
      </c>
      <c r="N69">
        <v>1</v>
      </c>
      <c r="O69">
        <v>2</v>
      </c>
      <c r="P69">
        <v>2</v>
      </c>
      <c r="Q69">
        <v>0</v>
      </c>
      <c r="R69">
        <v>3</v>
      </c>
      <c r="S69">
        <v>2</v>
      </c>
      <c r="T69">
        <v>-1</v>
      </c>
      <c r="U69" s="2">
        <f t="shared" si="6"/>
        <v>0.66666666666666663</v>
      </c>
      <c r="V69" s="2">
        <f t="shared" si="7"/>
        <v>0.66666666666666663</v>
      </c>
      <c r="W69" s="2">
        <f t="shared" si="8"/>
        <v>2.3333333333333335</v>
      </c>
      <c r="X69" s="2">
        <f t="shared" si="9"/>
        <v>3</v>
      </c>
      <c r="Y69" s="2">
        <f t="shared" si="10"/>
        <v>3</v>
      </c>
      <c r="Z69" s="2">
        <f t="shared" si="11"/>
        <v>3.6666666666666665</v>
      </c>
    </row>
    <row r="70" spans="1:26">
      <c r="A70" t="s">
        <v>186</v>
      </c>
      <c r="B70" t="s">
        <v>174</v>
      </c>
      <c r="C70">
        <v>7</v>
      </c>
      <c r="D70">
        <v>7</v>
      </c>
      <c r="E70">
        <v>0</v>
      </c>
      <c r="F70">
        <v>7</v>
      </c>
      <c r="G70">
        <v>4</v>
      </c>
      <c r="H70">
        <v>-3</v>
      </c>
      <c r="I70">
        <v>3</v>
      </c>
      <c r="J70">
        <v>2</v>
      </c>
      <c r="K70">
        <v>-1</v>
      </c>
      <c r="L70">
        <v>3</v>
      </c>
      <c r="M70">
        <v>5</v>
      </c>
      <c r="N70">
        <v>2</v>
      </c>
      <c r="O70">
        <v>4</v>
      </c>
      <c r="P70">
        <v>3</v>
      </c>
      <c r="Q70">
        <v>-1</v>
      </c>
      <c r="R70">
        <v>5</v>
      </c>
      <c r="S70">
        <v>3</v>
      </c>
      <c r="T70">
        <v>-2</v>
      </c>
      <c r="U70" s="2">
        <f t="shared" si="6"/>
        <v>-0.66666666666666663</v>
      </c>
      <c r="V70" s="2">
        <f t="shared" si="7"/>
        <v>-1</v>
      </c>
      <c r="W70" s="2">
        <f t="shared" si="8"/>
        <v>4.666666666666667</v>
      </c>
      <c r="X70" s="2">
        <f t="shared" si="9"/>
        <v>4</v>
      </c>
      <c r="Y70" s="2">
        <f t="shared" si="10"/>
        <v>5</v>
      </c>
      <c r="Z70" s="2">
        <f t="shared" si="11"/>
        <v>4</v>
      </c>
    </row>
    <row r="71" spans="1:26">
      <c r="A71" t="s">
        <v>187</v>
      </c>
      <c r="B71" t="s">
        <v>174</v>
      </c>
      <c r="C71">
        <v>2</v>
      </c>
      <c r="D71">
        <v>4</v>
      </c>
      <c r="E71">
        <v>2</v>
      </c>
      <c r="F71">
        <v>3</v>
      </c>
      <c r="G71">
        <v>4</v>
      </c>
      <c r="H71">
        <v>1</v>
      </c>
      <c r="I71">
        <v>1</v>
      </c>
      <c r="J71">
        <v>2</v>
      </c>
      <c r="K71">
        <v>1</v>
      </c>
      <c r="L71">
        <v>3</v>
      </c>
      <c r="M71">
        <v>3</v>
      </c>
      <c r="N71">
        <v>0</v>
      </c>
      <c r="O71">
        <v>6</v>
      </c>
      <c r="P71">
        <v>4</v>
      </c>
      <c r="Q71">
        <v>-2</v>
      </c>
      <c r="R71">
        <v>1</v>
      </c>
      <c r="S71">
        <v>1</v>
      </c>
      <c r="T71">
        <v>0</v>
      </c>
      <c r="U71" s="2">
        <f t="shared" si="6"/>
        <v>0.33333333333333331</v>
      </c>
      <c r="V71" s="2">
        <f t="shared" si="7"/>
        <v>0.33333333333333331</v>
      </c>
      <c r="W71" s="2">
        <f t="shared" si="8"/>
        <v>3</v>
      </c>
      <c r="X71" s="2">
        <f t="shared" si="9"/>
        <v>3.3333333333333335</v>
      </c>
      <c r="Y71" s="2">
        <f t="shared" si="10"/>
        <v>2.3333333333333335</v>
      </c>
      <c r="Z71" s="2">
        <f t="shared" si="11"/>
        <v>2.6666666666666665</v>
      </c>
    </row>
    <row r="72" spans="1:26">
      <c r="A72" t="s">
        <v>188</v>
      </c>
      <c r="B72" t="s">
        <v>174</v>
      </c>
      <c r="C72">
        <v>8</v>
      </c>
      <c r="D72">
        <v>7</v>
      </c>
      <c r="E72">
        <v>-1</v>
      </c>
      <c r="F72">
        <v>7</v>
      </c>
      <c r="G72">
        <v>5</v>
      </c>
      <c r="H72">
        <v>-2</v>
      </c>
      <c r="I72">
        <v>7</v>
      </c>
      <c r="J72">
        <v>8</v>
      </c>
      <c r="K72">
        <v>1</v>
      </c>
      <c r="L72">
        <v>3</v>
      </c>
      <c r="M72">
        <v>2</v>
      </c>
      <c r="N72">
        <v>-1</v>
      </c>
      <c r="O72">
        <v>7</v>
      </c>
      <c r="P72">
        <v>8</v>
      </c>
      <c r="Q72">
        <v>1</v>
      </c>
      <c r="R72">
        <v>3</v>
      </c>
      <c r="S72">
        <v>2</v>
      </c>
      <c r="T72">
        <v>-1</v>
      </c>
      <c r="U72" s="2">
        <f t="shared" si="6"/>
        <v>0.33333333333333331</v>
      </c>
      <c r="V72" s="2">
        <f t="shared" si="7"/>
        <v>-1.3333333333333333</v>
      </c>
      <c r="W72" s="2">
        <f t="shared" si="8"/>
        <v>7.333333333333333</v>
      </c>
      <c r="X72" s="2">
        <f t="shared" si="9"/>
        <v>7.666666666666667</v>
      </c>
      <c r="Y72" s="2">
        <f t="shared" si="10"/>
        <v>4.333333333333333</v>
      </c>
      <c r="Z72" s="2">
        <f t="shared" si="11"/>
        <v>3</v>
      </c>
    </row>
    <row r="73" spans="1:26">
      <c r="A73" t="s">
        <v>189</v>
      </c>
      <c r="B73" t="s">
        <v>174</v>
      </c>
      <c r="C73">
        <v>4</v>
      </c>
      <c r="D73">
        <v>6</v>
      </c>
      <c r="E73">
        <v>2</v>
      </c>
      <c r="F73">
        <v>3</v>
      </c>
      <c r="G73">
        <v>6</v>
      </c>
      <c r="H73">
        <v>3</v>
      </c>
      <c r="I73">
        <v>7</v>
      </c>
      <c r="J73">
        <v>6</v>
      </c>
      <c r="K73">
        <v>-1</v>
      </c>
      <c r="L73">
        <v>3</v>
      </c>
      <c r="M73">
        <v>3</v>
      </c>
      <c r="N73">
        <v>0</v>
      </c>
      <c r="O73">
        <v>6</v>
      </c>
      <c r="P73">
        <v>6</v>
      </c>
      <c r="Q73">
        <v>0</v>
      </c>
      <c r="R73">
        <v>3</v>
      </c>
      <c r="S73">
        <v>5</v>
      </c>
      <c r="T73">
        <v>2</v>
      </c>
      <c r="U73" s="2">
        <f t="shared" si="6"/>
        <v>0.33333333333333331</v>
      </c>
      <c r="V73" s="2">
        <f t="shared" si="7"/>
        <v>1.6666666666666667</v>
      </c>
      <c r="W73" s="2">
        <f t="shared" si="8"/>
        <v>5.666666666666667</v>
      </c>
      <c r="X73" s="2">
        <f t="shared" si="9"/>
        <v>6</v>
      </c>
      <c r="Y73" s="2">
        <f t="shared" si="10"/>
        <v>3</v>
      </c>
      <c r="Z73" s="2">
        <f t="shared" si="11"/>
        <v>4.666666666666667</v>
      </c>
    </row>
    <row r="74" spans="1:26">
      <c r="A74" t="s">
        <v>190</v>
      </c>
      <c r="B74" t="s">
        <v>174</v>
      </c>
      <c r="C74">
        <v>7</v>
      </c>
      <c r="D74">
        <v>7</v>
      </c>
      <c r="E74">
        <v>0</v>
      </c>
      <c r="F74">
        <v>3</v>
      </c>
      <c r="G74">
        <v>3</v>
      </c>
      <c r="H74">
        <v>0</v>
      </c>
      <c r="I74">
        <v>5</v>
      </c>
      <c r="J74">
        <v>7</v>
      </c>
      <c r="K74">
        <v>2</v>
      </c>
      <c r="L74">
        <v>5</v>
      </c>
      <c r="M74">
        <v>3</v>
      </c>
      <c r="N74">
        <v>-2</v>
      </c>
      <c r="O74">
        <v>8</v>
      </c>
      <c r="P74">
        <v>7</v>
      </c>
      <c r="Q74">
        <v>-1</v>
      </c>
      <c r="R74">
        <v>3</v>
      </c>
      <c r="S74">
        <v>5</v>
      </c>
      <c r="T74">
        <v>2</v>
      </c>
      <c r="U74" s="2">
        <f t="shared" si="6"/>
        <v>0.33333333333333331</v>
      </c>
      <c r="V74" s="2">
        <f t="shared" si="7"/>
        <v>0</v>
      </c>
      <c r="W74" s="2">
        <f t="shared" si="8"/>
        <v>6.666666666666667</v>
      </c>
      <c r="X74" s="2">
        <f t="shared" si="9"/>
        <v>7</v>
      </c>
      <c r="Y74" s="2">
        <f t="shared" si="10"/>
        <v>3.6666666666666665</v>
      </c>
      <c r="Z74" s="2">
        <f t="shared" si="11"/>
        <v>3.6666666666666665</v>
      </c>
    </row>
    <row r="75" spans="1:26">
      <c r="A75" t="s">
        <v>191</v>
      </c>
      <c r="B75" t="s">
        <v>174</v>
      </c>
      <c r="C75">
        <v>3</v>
      </c>
      <c r="D75">
        <v>4</v>
      </c>
      <c r="E75">
        <v>1</v>
      </c>
      <c r="F75">
        <v>5</v>
      </c>
      <c r="G75">
        <v>6</v>
      </c>
      <c r="H75">
        <v>1</v>
      </c>
      <c r="I75">
        <v>1</v>
      </c>
      <c r="J75">
        <v>8</v>
      </c>
      <c r="K75">
        <v>7</v>
      </c>
      <c r="L75">
        <v>5</v>
      </c>
      <c r="M75">
        <v>3</v>
      </c>
      <c r="N75">
        <v>-2</v>
      </c>
      <c r="O75">
        <v>1</v>
      </c>
      <c r="P75">
        <v>9</v>
      </c>
      <c r="Q75">
        <v>8</v>
      </c>
      <c r="R75">
        <v>3</v>
      </c>
      <c r="S75">
        <v>1</v>
      </c>
      <c r="T75">
        <v>-2</v>
      </c>
      <c r="U75" s="2">
        <f t="shared" si="6"/>
        <v>5.333333333333333</v>
      </c>
      <c r="V75" s="2">
        <f t="shared" si="7"/>
        <v>-1</v>
      </c>
      <c r="W75" s="2">
        <f t="shared" si="8"/>
        <v>1.6666666666666667</v>
      </c>
      <c r="X75" s="2">
        <f t="shared" si="9"/>
        <v>7</v>
      </c>
      <c r="Y75" s="2">
        <f t="shared" si="10"/>
        <v>4.333333333333333</v>
      </c>
      <c r="Z75" s="2">
        <f t="shared" si="11"/>
        <v>3.3333333333333335</v>
      </c>
    </row>
    <row r="76" spans="1:26">
      <c r="A76" t="s">
        <v>192</v>
      </c>
      <c r="B76" t="s">
        <v>174</v>
      </c>
      <c r="C76">
        <v>3</v>
      </c>
      <c r="D76">
        <v>4</v>
      </c>
      <c r="E76">
        <v>1</v>
      </c>
      <c r="F76">
        <v>3</v>
      </c>
      <c r="G76">
        <v>7</v>
      </c>
      <c r="H76">
        <v>4</v>
      </c>
      <c r="I76">
        <v>8</v>
      </c>
      <c r="J76">
        <v>7</v>
      </c>
      <c r="K76">
        <v>-1</v>
      </c>
      <c r="L76">
        <v>3</v>
      </c>
      <c r="M76">
        <v>4</v>
      </c>
      <c r="N76">
        <v>1</v>
      </c>
      <c r="O76">
        <v>6</v>
      </c>
      <c r="P76">
        <v>5</v>
      </c>
      <c r="Q76">
        <v>-1</v>
      </c>
      <c r="R76">
        <v>1</v>
      </c>
      <c r="S76">
        <v>3</v>
      </c>
      <c r="T76">
        <v>2</v>
      </c>
      <c r="U76" s="2">
        <f t="shared" si="6"/>
        <v>-0.33333333333333331</v>
      </c>
      <c r="V76" s="2">
        <f t="shared" si="7"/>
        <v>2.3333333333333335</v>
      </c>
      <c r="W76" s="2">
        <f t="shared" si="8"/>
        <v>5.666666666666667</v>
      </c>
      <c r="X76" s="2">
        <f t="shared" si="9"/>
        <v>5.333333333333333</v>
      </c>
      <c r="Y76" s="2">
        <f t="shared" si="10"/>
        <v>2.3333333333333335</v>
      </c>
      <c r="Z76" s="2">
        <f t="shared" si="11"/>
        <v>4.666666666666667</v>
      </c>
    </row>
    <row r="77" spans="1:26">
      <c r="A77" t="s">
        <v>193</v>
      </c>
      <c r="B77" t="s">
        <v>174</v>
      </c>
      <c r="C77">
        <v>5</v>
      </c>
      <c r="D77">
        <v>5</v>
      </c>
      <c r="E77">
        <v>0</v>
      </c>
      <c r="F77">
        <v>2</v>
      </c>
      <c r="G77">
        <v>3</v>
      </c>
      <c r="H77">
        <v>1</v>
      </c>
      <c r="I77">
        <v>6</v>
      </c>
      <c r="J77">
        <v>6</v>
      </c>
      <c r="K77">
        <v>0</v>
      </c>
      <c r="L77">
        <v>5</v>
      </c>
      <c r="M77">
        <v>5</v>
      </c>
      <c r="N77">
        <v>0</v>
      </c>
      <c r="O77">
        <v>8</v>
      </c>
      <c r="P77">
        <v>8</v>
      </c>
      <c r="Q77">
        <v>0</v>
      </c>
      <c r="R77">
        <v>6</v>
      </c>
      <c r="S77">
        <v>5</v>
      </c>
      <c r="T77">
        <v>-1</v>
      </c>
      <c r="U77" s="2">
        <f t="shared" si="6"/>
        <v>0</v>
      </c>
      <c r="V77" s="2">
        <f t="shared" si="7"/>
        <v>0</v>
      </c>
      <c r="W77" s="2">
        <f t="shared" si="8"/>
        <v>6.333333333333333</v>
      </c>
      <c r="X77" s="2">
        <f t="shared" si="9"/>
        <v>6.333333333333333</v>
      </c>
      <c r="Y77" s="2">
        <f t="shared" si="10"/>
        <v>4.333333333333333</v>
      </c>
      <c r="Z77" s="2">
        <f t="shared" si="11"/>
        <v>4.333333333333333</v>
      </c>
    </row>
    <row r="78" spans="1:26">
      <c r="A78" t="s">
        <v>194</v>
      </c>
      <c r="B78" t="s">
        <v>174</v>
      </c>
      <c r="C78">
        <v>6</v>
      </c>
      <c r="D78">
        <v>6</v>
      </c>
      <c r="E78">
        <v>0</v>
      </c>
      <c r="F78">
        <v>3</v>
      </c>
      <c r="G78">
        <v>4</v>
      </c>
      <c r="H78">
        <v>1</v>
      </c>
      <c r="I78">
        <v>5</v>
      </c>
      <c r="J78">
        <v>5</v>
      </c>
      <c r="K78">
        <v>0</v>
      </c>
      <c r="L78">
        <v>5</v>
      </c>
      <c r="M78">
        <v>5</v>
      </c>
      <c r="N78">
        <v>0</v>
      </c>
      <c r="O78">
        <v>5</v>
      </c>
      <c r="P78">
        <v>5</v>
      </c>
      <c r="Q78">
        <v>0</v>
      </c>
      <c r="R78">
        <v>5</v>
      </c>
      <c r="S78">
        <v>5</v>
      </c>
      <c r="T78">
        <v>0</v>
      </c>
      <c r="U78" s="2">
        <f t="shared" si="6"/>
        <v>0</v>
      </c>
      <c r="V78" s="2">
        <f t="shared" si="7"/>
        <v>0.33333333333333331</v>
      </c>
      <c r="W78" s="2">
        <f t="shared" si="8"/>
        <v>5.333333333333333</v>
      </c>
      <c r="X78" s="2">
        <f t="shared" si="9"/>
        <v>5.333333333333333</v>
      </c>
      <c r="Y78" s="2">
        <f t="shared" si="10"/>
        <v>4.333333333333333</v>
      </c>
      <c r="Z78" s="2">
        <f t="shared" si="11"/>
        <v>4.666666666666667</v>
      </c>
    </row>
    <row r="79" spans="1:26">
      <c r="A79" t="s">
        <v>195</v>
      </c>
      <c r="B79" t="s">
        <v>174</v>
      </c>
      <c r="C79">
        <v>8</v>
      </c>
      <c r="D79">
        <v>8</v>
      </c>
      <c r="E79">
        <v>0</v>
      </c>
      <c r="F79">
        <v>3</v>
      </c>
      <c r="G79">
        <v>3</v>
      </c>
      <c r="H79">
        <v>0</v>
      </c>
      <c r="I79">
        <v>2</v>
      </c>
      <c r="J79">
        <v>2</v>
      </c>
      <c r="K79">
        <v>0</v>
      </c>
      <c r="L79">
        <v>4</v>
      </c>
      <c r="M79">
        <v>3</v>
      </c>
      <c r="N79">
        <v>-1</v>
      </c>
      <c r="O79">
        <v>8</v>
      </c>
      <c r="P79">
        <v>8</v>
      </c>
      <c r="Q79">
        <v>0</v>
      </c>
      <c r="R79">
        <v>1</v>
      </c>
      <c r="S79">
        <v>1</v>
      </c>
      <c r="T79">
        <v>0</v>
      </c>
      <c r="U79" s="2">
        <f t="shared" si="6"/>
        <v>0</v>
      </c>
      <c r="V79" s="2">
        <f t="shared" si="7"/>
        <v>-0.33333333333333331</v>
      </c>
      <c r="W79" s="2">
        <f t="shared" si="8"/>
        <v>6</v>
      </c>
      <c r="X79" s="2">
        <f t="shared" si="9"/>
        <v>6</v>
      </c>
      <c r="Y79" s="2">
        <f t="shared" si="10"/>
        <v>2.6666666666666665</v>
      </c>
      <c r="Z79" s="2">
        <f t="shared" si="11"/>
        <v>2.3333333333333335</v>
      </c>
    </row>
    <row r="80" spans="1:26">
      <c r="A80" t="s">
        <v>196</v>
      </c>
      <c r="B80" t="s">
        <v>174</v>
      </c>
      <c r="C80">
        <v>7</v>
      </c>
      <c r="D80">
        <v>5</v>
      </c>
      <c r="E80">
        <v>-2</v>
      </c>
      <c r="F80">
        <v>3</v>
      </c>
      <c r="G80">
        <v>3</v>
      </c>
      <c r="H80">
        <v>0</v>
      </c>
      <c r="I80">
        <v>8</v>
      </c>
      <c r="J80">
        <v>7</v>
      </c>
      <c r="K80">
        <v>-1</v>
      </c>
      <c r="L80">
        <v>4</v>
      </c>
      <c r="M80">
        <v>4</v>
      </c>
      <c r="N80">
        <v>0</v>
      </c>
      <c r="O80">
        <v>6</v>
      </c>
      <c r="P80">
        <v>8</v>
      </c>
      <c r="Q80">
        <v>2</v>
      </c>
      <c r="R80">
        <v>2</v>
      </c>
      <c r="S80">
        <v>3</v>
      </c>
      <c r="T80">
        <v>1</v>
      </c>
      <c r="U80" s="2">
        <f t="shared" si="6"/>
        <v>-0.33333333333333331</v>
      </c>
      <c r="V80" s="2">
        <f t="shared" si="7"/>
        <v>0.33333333333333331</v>
      </c>
      <c r="W80" s="2">
        <f t="shared" si="8"/>
        <v>7</v>
      </c>
      <c r="X80" s="2">
        <f t="shared" si="9"/>
        <v>6.666666666666667</v>
      </c>
      <c r="Y80" s="2">
        <f t="shared" si="10"/>
        <v>3</v>
      </c>
      <c r="Z80" s="2">
        <f t="shared" si="11"/>
        <v>3.3333333333333335</v>
      </c>
    </row>
    <row r="81" spans="1:26">
      <c r="A81" t="s">
        <v>197</v>
      </c>
      <c r="B81" t="s">
        <v>174</v>
      </c>
      <c r="C81">
        <v>8</v>
      </c>
      <c r="D81">
        <v>8</v>
      </c>
      <c r="E81">
        <v>0</v>
      </c>
      <c r="F81">
        <v>2</v>
      </c>
      <c r="G81">
        <v>2</v>
      </c>
      <c r="H81">
        <v>0</v>
      </c>
      <c r="I81">
        <v>8</v>
      </c>
      <c r="J81">
        <v>6</v>
      </c>
      <c r="K81">
        <v>-2</v>
      </c>
      <c r="L81">
        <v>2</v>
      </c>
      <c r="M81">
        <v>7</v>
      </c>
      <c r="N81">
        <v>5</v>
      </c>
      <c r="O81">
        <v>8</v>
      </c>
      <c r="P81">
        <v>6</v>
      </c>
      <c r="Q81">
        <v>-2</v>
      </c>
      <c r="R81">
        <v>7</v>
      </c>
      <c r="S81">
        <v>8</v>
      </c>
      <c r="T81">
        <v>1</v>
      </c>
      <c r="U81" s="2">
        <f t="shared" si="6"/>
        <v>-1.3333333333333333</v>
      </c>
      <c r="V81" s="2">
        <f t="shared" si="7"/>
        <v>2</v>
      </c>
      <c r="W81" s="2">
        <f t="shared" si="8"/>
        <v>8</v>
      </c>
      <c r="X81" s="2">
        <f t="shared" si="9"/>
        <v>6.666666666666667</v>
      </c>
      <c r="Y81" s="2">
        <f t="shared" si="10"/>
        <v>3.6666666666666665</v>
      </c>
      <c r="Z81" s="2">
        <f t="shared" si="11"/>
        <v>5.666666666666667</v>
      </c>
    </row>
    <row r="82" spans="1:26">
      <c r="A82" t="s">
        <v>198</v>
      </c>
      <c r="B82" t="s">
        <v>174</v>
      </c>
      <c r="C82">
        <v>7</v>
      </c>
      <c r="D82">
        <v>9</v>
      </c>
      <c r="E82">
        <v>2</v>
      </c>
      <c r="F82">
        <v>1</v>
      </c>
      <c r="G82">
        <v>2</v>
      </c>
      <c r="H82">
        <v>1</v>
      </c>
      <c r="I82">
        <v>6</v>
      </c>
      <c r="J82">
        <v>7</v>
      </c>
      <c r="K82">
        <v>1</v>
      </c>
      <c r="L82">
        <v>2</v>
      </c>
      <c r="M82">
        <v>3</v>
      </c>
      <c r="N82">
        <v>1</v>
      </c>
      <c r="O82">
        <v>4</v>
      </c>
      <c r="P82">
        <v>4</v>
      </c>
      <c r="Q82">
        <v>0</v>
      </c>
      <c r="R82">
        <v>1</v>
      </c>
      <c r="S82">
        <v>2</v>
      </c>
      <c r="T82">
        <v>1</v>
      </c>
      <c r="U82" s="2">
        <f t="shared" si="6"/>
        <v>1</v>
      </c>
      <c r="V82" s="2">
        <f t="shared" si="7"/>
        <v>1</v>
      </c>
      <c r="W82" s="2">
        <f t="shared" si="8"/>
        <v>5.666666666666667</v>
      </c>
      <c r="X82" s="2">
        <f t="shared" si="9"/>
        <v>6.666666666666667</v>
      </c>
      <c r="Y82" s="2">
        <f t="shared" si="10"/>
        <v>1.3333333333333333</v>
      </c>
      <c r="Z82" s="2">
        <f t="shared" si="11"/>
        <v>2.3333333333333335</v>
      </c>
    </row>
    <row r="83" spans="1:26">
      <c r="A83" t="s">
        <v>199</v>
      </c>
      <c r="B83" t="s">
        <v>174</v>
      </c>
      <c r="C83">
        <v>5</v>
      </c>
      <c r="D83">
        <v>5</v>
      </c>
      <c r="E83">
        <v>0</v>
      </c>
      <c r="F83">
        <v>3</v>
      </c>
      <c r="G83">
        <v>4</v>
      </c>
      <c r="H83">
        <v>1</v>
      </c>
      <c r="I83">
        <v>5</v>
      </c>
      <c r="J83">
        <v>5</v>
      </c>
      <c r="K83">
        <v>0</v>
      </c>
      <c r="L83">
        <v>4</v>
      </c>
      <c r="M83">
        <v>6</v>
      </c>
      <c r="N83">
        <v>2</v>
      </c>
      <c r="O83">
        <v>7</v>
      </c>
      <c r="P83">
        <v>5</v>
      </c>
      <c r="Q83">
        <v>-2</v>
      </c>
      <c r="R83">
        <v>4</v>
      </c>
      <c r="S83">
        <v>3</v>
      </c>
      <c r="T83">
        <v>-1</v>
      </c>
      <c r="U83" s="2">
        <f t="shared" si="6"/>
        <v>-0.66666666666666663</v>
      </c>
      <c r="V83" s="2">
        <f t="shared" si="7"/>
        <v>0.66666666666666663</v>
      </c>
      <c r="W83" s="2">
        <f t="shared" si="8"/>
        <v>5.666666666666667</v>
      </c>
      <c r="X83" s="2">
        <f t="shared" si="9"/>
        <v>5</v>
      </c>
      <c r="Y83" s="2">
        <f t="shared" si="10"/>
        <v>3.6666666666666665</v>
      </c>
      <c r="Z83" s="2">
        <f t="shared" si="11"/>
        <v>4.333333333333333</v>
      </c>
    </row>
    <row r="84" spans="1:26">
      <c r="A84" t="s">
        <v>200</v>
      </c>
      <c r="B84" t="s">
        <v>174</v>
      </c>
      <c r="C84">
        <v>2</v>
      </c>
      <c r="D84">
        <v>2</v>
      </c>
      <c r="E84">
        <v>0</v>
      </c>
      <c r="F84">
        <v>8</v>
      </c>
      <c r="G84">
        <v>7</v>
      </c>
      <c r="H84">
        <v>-1</v>
      </c>
      <c r="I84">
        <v>3</v>
      </c>
      <c r="J84">
        <v>1</v>
      </c>
      <c r="K84">
        <v>-2</v>
      </c>
      <c r="L84">
        <v>5</v>
      </c>
      <c r="M84">
        <v>8</v>
      </c>
      <c r="N84">
        <v>3</v>
      </c>
      <c r="O84">
        <v>7</v>
      </c>
      <c r="P84">
        <v>5</v>
      </c>
      <c r="Q84">
        <v>-2</v>
      </c>
      <c r="R84">
        <v>2</v>
      </c>
      <c r="S84">
        <v>5</v>
      </c>
      <c r="T84">
        <v>3</v>
      </c>
      <c r="U84" s="2">
        <f t="shared" si="6"/>
        <v>-1.3333333333333333</v>
      </c>
      <c r="V84" s="2">
        <f t="shared" si="7"/>
        <v>1.6666666666666667</v>
      </c>
      <c r="W84" s="2">
        <f t="shared" si="8"/>
        <v>4</v>
      </c>
      <c r="X84" s="2">
        <f t="shared" si="9"/>
        <v>2.6666666666666665</v>
      </c>
      <c r="Y84" s="2">
        <f t="shared" si="10"/>
        <v>5</v>
      </c>
      <c r="Z84" s="2">
        <f t="shared" si="11"/>
        <v>6.666666666666667</v>
      </c>
    </row>
    <row r="85" spans="1:26">
      <c r="A85" t="s">
        <v>201</v>
      </c>
      <c r="B85" t="s">
        <v>174</v>
      </c>
      <c r="C85">
        <v>6</v>
      </c>
      <c r="D85">
        <v>5</v>
      </c>
      <c r="E85">
        <v>-1</v>
      </c>
      <c r="F85">
        <v>2</v>
      </c>
      <c r="G85">
        <v>4</v>
      </c>
      <c r="H85">
        <v>2</v>
      </c>
      <c r="I85">
        <v>8</v>
      </c>
      <c r="J85">
        <v>6</v>
      </c>
      <c r="K85">
        <v>-2</v>
      </c>
      <c r="L85">
        <v>3</v>
      </c>
      <c r="M85">
        <v>4</v>
      </c>
      <c r="N85">
        <v>1</v>
      </c>
      <c r="O85">
        <v>6</v>
      </c>
      <c r="P85">
        <v>5</v>
      </c>
      <c r="Q85">
        <v>-1</v>
      </c>
      <c r="R85">
        <v>2</v>
      </c>
      <c r="S85">
        <v>5</v>
      </c>
      <c r="T85">
        <v>3</v>
      </c>
      <c r="U85" s="2">
        <f t="shared" si="6"/>
        <v>-1.3333333333333333</v>
      </c>
      <c r="V85" s="2">
        <f t="shared" si="7"/>
        <v>2</v>
      </c>
      <c r="W85" s="2">
        <f t="shared" si="8"/>
        <v>6.666666666666667</v>
      </c>
      <c r="X85" s="2">
        <f t="shared" si="9"/>
        <v>5.333333333333333</v>
      </c>
      <c r="Y85" s="2">
        <f t="shared" si="10"/>
        <v>2.3333333333333335</v>
      </c>
      <c r="Z85" s="2">
        <f t="shared" si="11"/>
        <v>4.333333333333333</v>
      </c>
    </row>
    <row r="86" spans="1:26">
      <c r="A86" t="s">
        <v>202</v>
      </c>
      <c r="B86" t="s">
        <v>174</v>
      </c>
      <c r="C86">
        <v>7</v>
      </c>
      <c r="D86">
        <v>5</v>
      </c>
      <c r="E86">
        <v>-2</v>
      </c>
      <c r="F86">
        <v>4</v>
      </c>
      <c r="G86">
        <v>7</v>
      </c>
      <c r="H86">
        <v>3</v>
      </c>
      <c r="I86">
        <v>5</v>
      </c>
      <c r="J86">
        <v>5</v>
      </c>
      <c r="K86">
        <v>0</v>
      </c>
      <c r="L86">
        <v>5</v>
      </c>
      <c r="M86">
        <v>7</v>
      </c>
      <c r="N86">
        <v>2</v>
      </c>
      <c r="O86">
        <v>2</v>
      </c>
      <c r="P86">
        <v>3</v>
      </c>
      <c r="Q86">
        <v>1</v>
      </c>
      <c r="R86">
        <v>4</v>
      </c>
      <c r="S86">
        <v>5</v>
      </c>
      <c r="T86">
        <v>1</v>
      </c>
      <c r="U86" s="2">
        <f t="shared" si="6"/>
        <v>-0.33333333333333331</v>
      </c>
      <c r="V86" s="2">
        <f t="shared" si="7"/>
        <v>2</v>
      </c>
      <c r="W86" s="2">
        <f t="shared" si="8"/>
        <v>4.666666666666667</v>
      </c>
      <c r="X86" s="2">
        <f t="shared" si="9"/>
        <v>4.333333333333333</v>
      </c>
      <c r="Y86" s="2">
        <f t="shared" si="10"/>
        <v>4.333333333333333</v>
      </c>
      <c r="Z86" s="2">
        <f t="shared" si="11"/>
        <v>6.333333333333333</v>
      </c>
    </row>
    <row r="87" spans="1:26">
      <c r="A87" t="s">
        <v>203</v>
      </c>
      <c r="B87" t="s">
        <v>174</v>
      </c>
      <c r="C87">
        <v>1</v>
      </c>
      <c r="D87">
        <v>3</v>
      </c>
      <c r="E87">
        <v>2</v>
      </c>
      <c r="F87">
        <v>1</v>
      </c>
      <c r="G87">
        <v>2</v>
      </c>
      <c r="H87">
        <v>1</v>
      </c>
      <c r="I87">
        <v>1</v>
      </c>
      <c r="J87">
        <v>1</v>
      </c>
      <c r="K87">
        <v>0</v>
      </c>
      <c r="L87">
        <v>1</v>
      </c>
      <c r="M87">
        <v>1</v>
      </c>
      <c r="N87">
        <v>0</v>
      </c>
      <c r="O87">
        <v>8</v>
      </c>
      <c r="P87">
        <v>7</v>
      </c>
      <c r="Q87">
        <v>-1</v>
      </c>
      <c r="R87">
        <v>1</v>
      </c>
      <c r="S87">
        <v>2</v>
      </c>
      <c r="T87">
        <v>1</v>
      </c>
      <c r="U87" s="2">
        <f t="shared" si="6"/>
        <v>0.33333333333333331</v>
      </c>
      <c r="V87" s="2">
        <f t="shared" si="7"/>
        <v>0.66666666666666663</v>
      </c>
      <c r="W87" s="2">
        <f t="shared" si="8"/>
        <v>3.3333333333333335</v>
      </c>
      <c r="X87" s="2">
        <f t="shared" si="9"/>
        <v>3.6666666666666665</v>
      </c>
      <c r="Y87" s="2">
        <f t="shared" si="10"/>
        <v>1</v>
      </c>
      <c r="Z87" s="2">
        <f t="shared" si="11"/>
        <v>1.6666666666666667</v>
      </c>
    </row>
    <row r="89" spans="1:26">
      <c r="A89" s="22" t="s">
        <v>217</v>
      </c>
      <c r="B89" s="23">
        <f>_xlfn.STDEV.S(U2:U87)</f>
        <v>1.2456582142325023</v>
      </c>
    </row>
    <row r="90" spans="1:26">
      <c r="A90" s="22" t="s">
        <v>218</v>
      </c>
      <c r="B90" s="23">
        <f>_xlfn.STDEV.S(V2:V87)</f>
        <v>1.282981072220688</v>
      </c>
    </row>
    <row r="91" spans="1:26">
      <c r="A91" s="24" t="s">
        <v>219</v>
      </c>
      <c r="B91" s="23">
        <f>AVERAGE(U2:U87)</f>
        <v>-6.201550387596904E-2</v>
      </c>
    </row>
    <row r="92" spans="1:26">
      <c r="A92" s="24" t="s">
        <v>220</v>
      </c>
      <c r="B92" s="23">
        <f>AVERAGE(V2:V87)</f>
        <v>0.55426356589147263</v>
      </c>
      <c r="D92" s="5" t="s">
        <v>208</v>
      </c>
      <c r="E92" s="5"/>
      <c r="F92" s="5"/>
    </row>
    <row r="93" spans="1:26">
      <c r="D93" s="4"/>
      <c r="E93" s="4" t="s">
        <v>89</v>
      </c>
      <c r="F93" s="4" t="s">
        <v>90</v>
      </c>
    </row>
    <row r="94" spans="1:26">
      <c r="D94" s="4" t="s">
        <v>87</v>
      </c>
      <c r="E94" s="11">
        <f>AVERAGE(W2:W57)</f>
        <v>5.2678571428571432</v>
      </c>
      <c r="F94" s="11">
        <f>AVERAGE(Y2:Y57)</f>
        <v>3.9761904761904758</v>
      </c>
    </row>
    <row r="95" spans="1:26">
      <c r="D95" s="4" t="s">
        <v>88</v>
      </c>
      <c r="E95" s="11">
        <f>AVERAGE(X2:X57)</f>
        <v>5.1904761904761907</v>
      </c>
      <c r="F95" s="11">
        <f>AVERAGE(Z2:Z57)</f>
        <v>4.5476190476190483</v>
      </c>
    </row>
    <row r="96" spans="1:26">
      <c r="D96" s="8"/>
      <c r="E96" s="9" t="s">
        <v>87</v>
      </c>
      <c r="F96" s="9" t="s">
        <v>88</v>
      </c>
    </row>
    <row r="97" spans="3:24">
      <c r="D97" s="9" t="s">
        <v>91</v>
      </c>
      <c r="E97" s="10">
        <f>_xlfn.STDEV.S(W2:W57)</f>
        <v>1.5807166803906469</v>
      </c>
      <c r="F97" s="10">
        <f>_xlfn.STDEV.S(X2:X57)</f>
        <v>1.4918731265377174</v>
      </c>
      <c r="V97" s="2"/>
      <c r="W97" s="2"/>
      <c r="X97" s="2"/>
    </row>
    <row r="98" spans="3:24">
      <c r="D98" s="9" t="s">
        <v>92</v>
      </c>
      <c r="E98" s="10">
        <f>_xlfn.STDEV.S(Y2:Y57)</f>
        <v>1.4423005512828748</v>
      </c>
      <c r="F98" s="10">
        <f>_xlfn.STDEV.S(Z2:Z57)</f>
        <v>1.4176785283739088</v>
      </c>
      <c r="V98" s="2"/>
      <c r="W98" s="2"/>
      <c r="X98" s="2"/>
    </row>
    <row r="99" spans="3:24">
      <c r="D99" s="9" t="s">
        <v>209</v>
      </c>
      <c r="E99" s="8">
        <f>COUNTA(B2:B57)</f>
        <v>56</v>
      </c>
      <c r="F99" s="8">
        <f>COUNTA(B2:B57)</f>
        <v>56</v>
      </c>
    </row>
    <row r="100" spans="3:24">
      <c r="D100" s="9" t="s">
        <v>210</v>
      </c>
      <c r="E100" s="8">
        <v>0.05</v>
      </c>
      <c r="F100" s="8">
        <v>0.05</v>
      </c>
    </row>
    <row r="101" spans="3:24">
      <c r="D101" s="9" t="s">
        <v>211</v>
      </c>
      <c r="E101" s="10">
        <f>_xlfn.CONFIDENCE.T(E100,E97,E99)</f>
        <v>0.4233186913896349</v>
      </c>
      <c r="F101" s="10">
        <f>_xlfn.CONFIDENCE.T(F100,F97,F99)</f>
        <v>0.39952623229688194</v>
      </c>
    </row>
    <row r="102" spans="3:24">
      <c r="D102" s="9" t="s">
        <v>212</v>
      </c>
      <c r="E102" s="10">
        <f>_xlfn.CONFIDENCE.T(E100,E98,E99)</f>
        <v>0.38625060995037258</v>
      </c>
      <c r="F102" s="10">
        <f>_xlfn.CONFIDENCE.T(F100,F98,F99)</f>
        <v>0.37965678915598883</v>
      </c>
    </row>
    <row r="103" spans="3:24">
      <c r="D103" s="7"/>
      <c r="E103" s="6"/>
    </row>
    <row r="104" spans="3:24">
      <c r="D104" s="7"/>
      <c r="E104" s="6"/>
      <c r="F104" s="6"/>
    </row>
    <row r="105" spans="3:24">
      <c r="D105" s="7"/>
      <c r="E105" s="6"/>
      <c r="F105" s="6"/>
    </row>
    <row r="110" spans="3:24">
      <c r="D110" s="7"/>
      <c r="E110" s="6"/>
      <c r="F110" s="6"/>
    </row>
    <row r="111" spans="3:24">
      <c r="D111" s="6"/>
      <c r="E111" s="6"/>
      <c r="F111" s="6"/>
    </row>
    <row r="112" spans="3:24">
      <c r="C112" s="5" t="s">
        <v>216</v>
      </c>
      <c r="D112" s="5"/>
      <c r="E112" s="5"/>
      <c r="F112" s="5"/>
    </row>
    <row r="113" spans="3:6">
      <c r="C113" s="4"/>
      <c r="D113" s="4"/>
      <c r="E113" s="4" t="s">
        <v>90</v>
      </c>
      <c r="F113" s="4" t="s">
        <v>89</v>
      </c>
    </row>
    <row r="114" spans="3:6">
      <c r="C114" s="4"/>
      <c r="D114" s="4" t="s">
        <v>215</v>
      </c>
      <c r="E114" s="11">
        <f>AVERAGE(V58:V87)</f>
        <v>0.52222222222222225</v>
      </c>
      <c r="F114" s="11">
        <f>AVERAGE(U58:U87)</f>
        <v>-3.3333333333333305E-2</v>
      </c>
    </row>
    <row r="115" spans="3:6">
      <c r="C115" s="4"/>
      <c r="D115" s="4" t="s">
        <v>214</v>
      </c>
      <c r="E115" s="11">
        <f>AVERAGE(V34:V57)</f>
        <v>1.0972222222222223</v>
      </c>
      <c r="F115" s="11">
        <f>AVERAGE(U34:U57)</f>
        <v>-0.20833333333333337</v>
      </c>
    </row>
    <row r="116" spans="3:6">
      <c r="C116" s="4"/>
      <c r="D116" s="4" t="s">
        <v>213</v>
      </c>
      <c r="E116" s="11">
        <f>AVERAGE(V2:V33)</f>
        <v>0.17708333333333334</v>
      </c>
      <c r="F116" s="11">
        <f>AVERAGE(U2:U33)</f>
        <v>2.0833333333333343E-2</v>
      </c>
    </row>
    <row r="117" spans="3:6">
      <c r="C117" s="12"/>
      <c r="D117" s="13" t="s">
        <v>215</v>
      </c>
      <c r="E117" s="16" t="s">
        <v>214</v>
      </c>
      <c r="F117" s="19" t="s">
        <v>213</v>
      </c>
    </row>
    <row r="118" spans="3:6">
      <c r="C118" s="12" t="s">
        <v>91</v>
      </c>
      <c r="D118" s="14">
        <f>_xlfn.STDEV.S(U58:U87)</f>
        <v>1.325696520463042</v>
      </c>
      <c r="E118" s="17">
        <f>_xlfn.STDEV.S(U34:U57)</f>
        <v>1.3824731042801415</v>
      </c>
      <c r="F118" s="20">
        <f>_xlfn.STDEV.S(U2:U33)</f>
        <v>1.0807454615626071</v>
      </c>
    </row>
    <row r="119" spans="3:6">
      <c r="C119" s="12" t="s">
        <v>92</v>
      </c>
      <c r="D119" s="14">
        <f>_xlfn.STDEV.S(V58:V87)</f>
        <v>1.2369884742037411</v>
      </c>
      <c r="E119" s="17">
        <f>_xlfn.STDEV.S(V34:V57)</f>
        <v>1.6344100759284053</v>
      </c>
      <c r="F119" s="20">
        <f>_xlfn.STDEV.S(V2:V33)</f>
        <v>0.85082449996994325</v>
      </c>
    </row>
    <row r="120" spans="3:6">
      <c r="C120" s="12" t="s">
        <v>209</v>
      </c>
      <c r="D120" s="15">
        <f>COUNTA(B58:B87)</f>
        <v>30</v>
      </c>
      <c r="E120" s="18">
        <f>COUNTA(B34:B57)</f>
        <v>24</v>
      </c>
      <c r="F120" s="21">
        <f>COUNTA(B2:B33)</f>
        <v>32</v>
      </c>
    </row>
    <row r="121" spans="3:6">
      <c r="C121" s="12" t="s">
        <v>210</v>
      </c>
      <c r="D121" s="15">
        <v>0.05</v>
      </c>
      <c r="E121" s="18">
        <v>0.05</v>
      </c>
      <c r="F121" s="21">
        <v>0.05</v>
      </c>
    </row>
    <row r="122" spans="3:6">
      <c r="C122" s="12" t="s">
        <v>212</v>
      </c>
      <c r="D122" s="14">
        <f>_xlfn.CONFIDENCE.T(D121,D119,D120)</f>
        <v>0.46189908736671587</v>
      </c>
      <c r="E122" s="17">
        <f>_xlfn.CONFIDENCE.T(E121,E119,E120)</f>
        <v>0.69015084714607666</v>
      </c>
      <c r="F122" s="20">
        <f>_xlfn.CONFIDENCE.T(F121,F119,F120)</f>
        <v>0.30675494394573</v>
      </c>
    </row>
    <row r="123" spans="3:6">
      <c r="C123" s="12" t="s">
        <v>211</v>
      </c>
      <c r="D123" s="14">
        <f>_xlfn.CONFIDENCE.T(D121,D118,D120)</f>
        <v>0.49502321621976031</v>
      </c>
      <c r="E123" s="17">
        <f>_xlfn.CONFIDENCE.T(E121,E118,E120)</f>
        <v>0.58376719412576639</v>
      </c>
      <c r="F123" s="20">
        <f>_xlfn.CONFIDENCE.T(F121,F118,F120)</f>
        <v>0.38965029038650301</v>
      </c>
    </row>
  </sheetData>
  <mergeCells count="2">
    <mergeCell ref="D92:F92"/>
    <mergeCell ref="C112:F112"/>
  </mergeCells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Final_Full_H_Filtered.csv</vt:lpstr>
      <vt:lpstr>Formatted Data</vt:lpstr>
    </vt:vector>
  </TitlesOfParts>
  <Company>VU Amsterdam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Lenin Medeiros</dc:creator>
  <cp:lastModifiedBy>Lenin Medeiros</cp:lastModifiedBy>
  <dcterms:created xsi:type="dcterms:W3CDTF">2020-07-02T17:59:59Z</dcterms:created>
  <dcterms:modified xsi:type="dcterms:W3CDTF">2020-07-02T18:01:23Z</dcterms:modified>
</cp:coreProperties>
</file>